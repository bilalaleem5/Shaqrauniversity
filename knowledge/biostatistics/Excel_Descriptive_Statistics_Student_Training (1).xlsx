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8d0cf10cfa25ae4/Desktop/مقرر الاحصاء الحيويى/"/>
    </mc:Choice>
  </mc:AlternateContent>
  <xr:revisionPtr revIDLastSave="0" documentId="8_{7CACBE91-857E-4EAD-89C2-22721ED0E836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START_HERE" sheetId="1" r:id="rId1"/>
    <sheet name="Data_Dictionary" sheetId="2" r:id="rId2"/>
    <sheet name="Raw_Data" sheetId="3" r:id="rId3"/>
    <sheet name="Clean_Data" sheetId="4" r:id="rId4"/>
    <sheet name="Descriptive" sheetId="5" r:id="rId5"/>
    <sheet name="Frequency" sheetId="6" r:id="rId6"/>
    <sheet name="Charts" sheetId="7" r:id="rId7"/>
    <sheet name="Student_Task" sheetId="8" r:id="rId8"/>
    <sheet name="Formula_CheatSheet" sheetId="9" r:id="rId9"/>
  </sheets>
  <definedNames>
    <definedName name="_xlnm._FilterDatabase" localSheetId="3" hidden="1">Clean_Data!$A$2:$J$52</definedName>
    <definedName name="_xlnm._FilterDatabase" localSheetId="1" hidden="1">Data_Dictionary!$A$2:$H$12</definedName>
    <definedName name="_xlnm._FilterDatabase" localSheetId="2" hidden="1">Raw_Data!$A$2:$J$52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9" l="1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5" i="7"/>
  <c r="B24" i="7"/>
  <c r="B23" i="7"/>
  <c r="B22" i="7"/>
  <c r="B21" i="7"/>
  <c r="B20" i="7"/>
  <c r="B16" i="6"/>
  <c r="C16" i="6" s="1"/>
  <c r="B15" i="6"/>
  <c r="C15" i="6" s="1"/>
  <c r="B14" i="6"/>
  <c r="C14" i="6" s="1"/>
  <c r="B13" i="6"/>
  <c r="C13" i="6" s="1"/>
  <c r="B12" i="6"/>
  <c r="C12" i="6" s="1"/>
  <c r="F10" i="6"/>
  <c r="G10" i="6" s="1"/>
  <c r="F9" i="6"/>
  <c r="G9" i="6" s="1"/>
  <c r="F8" i="6"/>
  <c r="G8" i="6" s="1"/>
  <c r="F7" i="6"/>
  <c r="G7" i="6" s="1"/>
  <c r="F6" i="6"/>
  <c r="G6" i="6" s="1"/>
  <c r="B6" i="6"/>
  <c r="C6" i="6" s="1"/>
  <c r="F5" i="6"/>
  <c r="G5" i="6" s="1"/>
  <c r="B5" i="6"/>
  <c r="C5" i="6" s="1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M11" i="5"/>
  <c r="K11" i="5"/>
  <c r="L11" i="5" s="1"/>
  <c r="J11" i="5"/>
  <c r="I11" i="5"/>
  <c r="M10" i="5"/>
  <c r="K10" i="5"/>
  <c r="L10" i="5" s="1"/>
  <c r="J10" i="5"/>
  <c r="I10" i="5"/>
  <c r="M9" i="5"/>
  <c r="K9" i="5"/>
  <c r="J9" i="5"/>
  <c r="I9" i="5"/>
  <c r="F9" i="5"/>
  <c r="E9" i="5"/>
  <c r="D9" i="5"/>
  <c r="C9" i="5"/>
  <c r="B9" i="5"/>
  <c r="M8" i="5"/>
  <c r="K8" i="5"/>
  <c r="J8" i="5"/>
  <c r="I8" i="5"/>
  <c r="F8" i="5"/>
  <c r="E8" i="5"/>
  <c r="D8" i="5"/>
  <c r="C8" i="5"/>
  <c r="B8" i="5"/>
  <c r="M7" i="5"/>
  <c r="K7" i="5"/>
  <c r="J7" i="5"/>
  <c r="I7" i="5"/>
  <c r="F7" i="5"/>
  <c r="E7" i="5"/>
  <c r="D7" i="5"/>
  <c r="C7" i="5"/>
  <c r="B7" i="5"/>
  <c r="M6" i="5"/>
  <c r="K6" i="5"/>
  <c r="J6" i="5"/>
  <c r="I6" i="5"/>
  <c r="F6" i="5"/>
  <c r="E6" i="5"/>
  <c r="D6" i="5"/>
  <c r="C6" i="5"/>
  <c r="B6" i="5"/>
  <c r="M5" i="5"/>
  <c r="K5" i="5"/>
  <c r="J5" i="5"/>
  <c r="I5" i="5"/>
  <c r="F5" i="5"/>
  <c r="E5" i="5"/>
  <c r="D5" i="5"/>
  <c r="C5" i="5"/>
  <c r="B5" i="5"/>
  <c r="F4" i="5"/>
  <c r="E4" i="5"/>
  <c r="D4" i="5"/>
  <c r="C4" i="5"/>
  <c r="B4" i="5"/>
  <c r="F3" i="5"/>
  <c r="E3" i="5"/>
  <c r="D3" i="5"/>
  <c r="C3" i="5"/>
  <c r="B3" i="5"/>
  <c r="L8" i="5" l="1"/>
  <c r="L6" i="5"/>
  <c r="L5" i="5"/>
  <c r="L9" i="5"/>
  <c r="L7" i="5"/>
</calcChain>
</file>

<file path=xl/sharedStrings.xml><?xml version="1.0" encoding="utf-8"?>
<sst xmlns="http://schemas.openxmlformats.org/spreadsheetml/2006/main" count="422" uniqueCount="228">
  <si>
    <t>Excel Practical Training — Descriptive Statistics</t>
  </si>
  <si>
    <t>Recommended teaching sequence</t>
  </si>
  <si>
    <t>1</t>
  </si>
  <si>
    <t>Create/enter data</t>
  </si>
  <si>
    <t>Use one row = one participant/observation; one column = one variable.</t>
  </si>
  <si>
    <t>2</t>
  </si>
  <si>
    <t>Define variables</t>
  </si>
  <si>
    <t>Use the Data_Dictionary sheet. Decide variable name, type, unit, coding, and role.</t>
  </si>
  <si>
    <t>3</t>
  </si>
  <si>
    <t>Check the data</t>
  </si>
  <si>
    <t>Look for blanks, duplicates, impossible values, inconsistent labels, and outliers.</t>
  </si>
  <si>
    <t>4</t>
  </si>
  <si>
    <t>Filter / narrow the data</t>
  </si>
  <si>
    <t>Use the filter arrows in Clean_Data or create a subset such as Female students, Year 4, etc.</t>
  </si>
  <si>
    <t>5</t>
  </si>
  <si>
    <t>Choose the graph</t>
  </si>
  <si>
    <t>Categorical → Bar/Pie. Numeric → Histogram/Box-style summary/Scatter. Two numeric variables → Scatter.</t>
  </si>
  <si>
    <t>6</t>
  </si>
  <si>
    <t>Run descriptive statistics</t>
  </si>
  <si>
    <t>Mean, Median, Mode, Range, Quartiles, IQR, Variance, Standard Deviation.</t>
  </si>
  <si>
    <t>7</t>
  </si>
  <si>
    <t>Interpret</t>
  </si>
  <si>
    <t>Do not report numbers without units or context. Explain what the result means.</t>
  </si>
  <si>
    <t>8</t>
  </si>
  <si>
    <t>Apply the lecture</t>
  </si>
  <si>
    <t>Use the same dataset to demonstrate Central Tendency, Position, and Dispersion.</t>
  </si>
  <si>
    <t>What students will practice</t>
  </si>
  <si>
    <t>• Excel basics: workbook, worksheet, rows, columns, cells, formulas, tables, filters.</t>
  </si>
  <si>
    <t>• Variable identification: ID, categorical, ordinal, continuous/numeric.</t>
  </si>
  <si>
    <t>• Data cleaning and narrowing: Sort, Filter, Remove Duplicates, blanks, validation.</t>
  </si>
  <si>
    <t>• Graphs: Column/Bar, Pie, Histogram, Scatter.</t>
  </si>
  <si>
    <t>• Descriptive statistics: Mean, Median, Mode, Range, Quartiles, IQR, Variance, SD.</t>
  </si>
  <si>
    <t>• Sample vs Population formulas.</t>
  </si>
  <si>
    <t>• A complete mini-analysis using the same dataset.</t>
  </si>
  <si>
    <t>Data Dictionary — Define Variables Before Analysis</t>
  </si>
  <si>
    <t>Variable</t>
  </si>
  <si>
    <t>Meaning</t>
  </si>
  <si>
    <t>Type</t>
  </si>
  <si>
    <t>Measurement / Unit</t>
  </si>
  <si>
    <t>Coding</t>
  </si>
  <si>
    <t>Role</t>
  </si>
  <si>
    <t>Allowed / Expected</t>
  </si>
  <si>
    <t>Notes</t>
  </si>
  <si>
    <t>Student_ID</t>
  </si>
  <si>
    <t>Unique participant identifier</t>
  </si>
  <si>
    <t>ID</t>
  </si>
  <si>
    <t>Number</t>
  </si>
  <si>
    <t>1–50</t>
  </si>
  <si>
    <t>Identifier</t>
  </si>
  <si>
    <t>Unique</t>
  </si>
  <si>
    <t>Do not analyze as a numeric measurement.</t>
  </si>
  <si>
    <t>Gender</t>
  </si>
  <si>
    <t>Student gender category</t>
  </si>
  <si>
    <t>Categorical</t>
  </si>
  <si>
    <t>Nominal</t>
  </si>
  <si>
    <t>Male/Female</t>
  </si>
  <si>
    <t>Grouping</t>
  </si>
  <si>
    <t>Male, Female</t>
  </si>
  <si>
    <t>Use counts/percentages.</t>
  </si>
  <si>
    <t>Year</t>
  </si>
  <si>
    <t>Academic year</t>
  </si>
  <si>
    <t>Ordinal</t>
  </si>
  <si>
    <t>1–6</t>
  </si>
  <si>
    <t>1,2,3,4,5,6</t>
  </si>
  <si>
    <t>Ordered categories.</t>
  </si>
  <si>
    <t>Age</t>
  </si>
  <si>
    <t>Age of student</t>
  </si>
  <si>
    <t>Numeric</t>
  </si>
  <si>
    <t>Years</t>
  </si>
  <si>
    <t>18–25</t>
  </si>
  <si>
    <t>Continuous/quantitative for this exercise.</t>
  </si>
  <si>
    <t>Study_Hours</t>
  </si>
  <si>
    <t>Study hours per week</t>
  </si>
  <si>
    <t>Hours/week</t>
  </si>
  <si>
    <t>Positive values</t>
  </si>
  <si>
    <t>Contains one missing value for cleaning practice.</t>
  </si>
  <si>
    <t>Sleep_Hours</t>
  </si>
  <si>
    <t>Average sleep per night</t>
  </si>
  <si>
    <t>Hours/night</t>
  </si>
  <si>
    <t>4–10</t>
  </si>
  <si>
    <t>Numeric variable.</t>
  </si>
  <si>
    <t>GPA</t>
  </si>
  <si>
    <t>Grade point average</t>
  </si>
  <si>
    <t>0–5 scale</t>
  </si>
  <si>
    <t>2–5</t>
  </si>
  <si>
    <t>Bounded numeric scale.</t>
  </si>
  <si>
    <t>SBP</t>
  </si>
  <si>
    <t>Systolic blood pressure</t>
  </si>
  <si>
    <t>mmHg</t>
  </si>
  <si>
    <t>90–150 in this teaching dataset</t>
  </si>
  <si>
    <t>Synthetic data for classroom practice.</t>
  </si>
  <si>
    <t>Satisfaction</t>
  </si>
  <si>
    <t>Overall satisfaction score</t>
  </si>
  <si>
    <t>1–5</t>
  </si>
  <si>
    <t>1=low … 5=high</t>
  </si>
  <si>
    <t>1,2,3,4,5</t>
  </si>
  <si>
    <t>Can be summarized with frequencies/median; mean may be shown as a classroom exercise.</t>
  </si>
  <si>
    <t>Attendance</t>
  </si>
  <si>
    <t>Attendance percentage</t>
  </si>
  <si>
    <t>%</t>
  </si>
  <si>
    <t>60–100</t>
  </si>
  <si>
    <t>Numeric percentage.</t>
  </si>
  <si>
    <t>Raw Data — Original Classroom Dataset</t>
  </si>
  <si>
    <t>Teaching note</t>
  </si>
  <si>
    <t>Male</t>
  </si>
  <si>
    <t>This is synthetic data created for classroom practice. It is not real patient/student data.</t>
  </si>
  <si>
    <t>Female</t>
  </si>
  <si>
    <t>Important: Do not change the Raw_Data sheet when teaching data cleaning. Make a copy or work in Clean_Data.</t>
  </si>
  <si>
    <t>Clean Data + Filtering Practice</t>
  </si>
  <si>
    <t>How to narrow/filter the data</t>
  </si>
  <si>
    <t>1. Click the filter arrow in any column.</t>
  </si>
  <si>
    <t>2. Select only the category you need (e.g., Female).</t>
  </si>
  <si>
    <t>3. For numeric variables use Number Filters: Greater Than, Less Than, Between.</t>
  </si>
  <si>
    <t>4. Use multiple filters together (e.g., Female + Year 4 + GPA &gt; 3.5).</t>
  </si>
  <si>
    <t>5. To return to the full dataset: Data → Clear or clear the selected filter.</t>
  </si>
  <si>
    <t>6. Do not delete the original rows just to answer one question; filter a copy/view when possible.</t>
  </si>
  <si>
    <t>Suggested student exercises</t>
  </si>
  <si>
    <t>Exercise 1: Filter Gender = Female.</t>
  </si>
  <si>
    <t>Exercise 2: Filter Year = 4.</t>
  </si>
  <si>
    <t>Exercise 3: Filter GPA &gt; 3.5.</t>
  </si>
  <si>
    <t>Exercise 4: Filter Study_Hours between 10 and 20.</t>
  </si>
  <si>
    <t>Exercise 5: Combine filters: Female + Year 4 + GPA &gt; 3.5.</t>
  </si>
  <si>
    <t>Exercise 6: Sort GPA from largest to smallest.</t>
  </si>
  <si>
    <t>Exercise 7: Find the missing Study_Hours value.</t>
  </si>
  <si>
    <t>Descriptive Statistics — Apply Chapter 3</t>
  </si>
  <si>
    <t>Mean</t>
  </si>
  <si>
    <t>Median</t>
  </si>
  <si>
    <t>Mode</t>
  </si>
  <si>
    <t>Range</t>
  </si>
  <si>
    <t>Sample SD</t>
  </si>
  <si>
    <t>Position + Dispersion</t>
  </si>
  <si>
    <t>Q1</t>
  </si>
  <si>
    <t>Q2 / Median</t>
  </si>
  <si>
    <t>Q3</t>
  </si>
  <si>
    <t>IQR</t>
  </si>
  <si>
    <t>Sample Variance</t>
  </si>
  <si>
    <t>Sample vs Population</t>
  </si>
  <si>
    <t>Population Variance</t>
  </si>
  <si>
    <t>Population SD</t>
  </si>
  <si>
    <t>Frequency Tables — Categorical / Ordinal Variables</t>
  </si>
  <si>
    <t>Academic Year</t>
  </si>
  <si>
    <t>Category</t>
  </si>
  <si>
    <t>Count</t>
  </si>
  <si>
    <t>Percent</t>
  </si>
  <si>
    <t>Satisfaction Score</t>
  </si>
  <si>
    <t>Score</t>
  </si>
  <si>
    <t>Charts — Which Graph Should I Use?</t>
  </si>
  <si>
    <t>GPA distribution (grouped)</t>
  </si>
  <si>
    <t>GPA Range</t>
  </si>
  <si>
    <t>2.0–2.49</t>
  </si>
  <si>
    <t>2.5–2.99</t>
  </si>
  <si>
    <t>3.0–3.49</t>
  </si>
  <si>
    <t>3.5–3.99</t>
  </si>
  <si>
    <t>4.0–4.49</t>
  </si>
  <si>
    <t>4.5–5.00</t>
  </si>
  <si>
    <t>Graph selection guide</t>
  </si>
  <si>
    <t>Variable / Question</t>
  </si>
  <si>
    <t>Recommended graph</t>
  </si>
  <si>
    <t>Why</t>
  </si>
  <si>
    <t>One categorical variable</t>
  </si>
  <si>
    <t>Bar/Column chart</t>
  </si>
  <si>
    <t>Compare category counts easily</t>
  </si>
  <si>
    <t>Parts of a whole</t>
  </si>
  <si>
    <t>Pie chart</t>
  </si>
  <si>
    <t>Show proportions when categories are few</t>
  </si>
  <si>
    <t>One numeric variable</t>
  </si>
  <si>
    <t>Histogram</t>
  </si>
  <si>
    <t>Show distribution and shape</t>
  </si>
  <si>
    <t>Two numeric variables</t>
  </si>
  <si>
    <t>Scatter plot</t>
  </si>
  <si>
    <t>Explore relationship/association</t>
  </si>
  <si>
    <t>Before/after or ordered groups</t>
  </si>
  <si>
    <t>Column/Line (when appropriate)</t>
  </si>
  <si>
    <t>Compare values across an ordered sequence</t>
  </si>
  <si>
    <t>Student Practical — Complete Analysis</t>
  </si>
  <si>
    <t>Task</t>
  </si>
  <si>
    <t>1. Open Raw_Data and identify each variable using Data_Dictionary.</t>
  </si>
  <si>
    <t>2. Convert/confirm the data are in a table and use filter arrows.</t>
  </si>
  <si>
    <t>3. Find the missing Study_Hours observation.</t>
  </si>
  <si>
    <t>4. Filter the data to Year 4 only and observe what changes.</t>
  </si>
  <si>
    <t>5. Calculate Mean, Median, Mode, Range and SD for GPA.</t>
  </si>
  <si>
    <t>6. Calculate Q1, Q2, Q3 and IQR for GPA.</t>
  </si>
  <si>
    <t>7. Build a frequency table for Gender and Satisfaction.</t>
  </si>
  <si>
    <t>8. Create a bar chart for Gender and a histogram-style chart for GPA.</t>
  </si>
  <si>
    <t>9. Create a scatter plot of Study_Hours vs GPA.</t>
  </si>
  <si>
    <t>10. Write 3–5 sentences interpreting the results.</t>
  </si>
  <si>
    <t>Interpretation prompts</t>
  </si>
  <si>
    <t>• What does the mean GPA tell you?</t>
  </si>
  <si>
    <t>• How is the median GPA different from the mean?</t>
  </si>
  <si>
    <t>• Is there a mode? What does it mean?</t>
  </si>
  <si>
    <t>• What does the SD tell you about variation?</t>
  </si>
  <si>
    <t>• What percentage of students are in each gender category?</t>
  </si>
  <si>
    <t>• What does the IQR tell you about the middle 50%?</t>
  </si>
  <si>
    <t>• What does the scatter plot suggest visually? Avoid claiming causation.</t>
  </si>
  <si>
    <t>Excel Formula Cheat Sheet</t>
  </si>
  <si>
    <t>Purpose</t>
  </si>
  <si>
    <t>Excel Formula</t>
  </si>
  <si>
    <t>Chapter 3 concept</t>
  </si>
  <si>
    <t>Average of numeric values</t>
  </si>
  <si>
    <t>Middle value</t>
  </si>
  <si>
    <t>Most frequent value</t>
  </si>
  <si>
    <t>Minimum</t>
  </si>
  <si>
    <t>Smallest value</t>
  </si>
  <si>
    <t>Maximum</t>
  </si>
  <si>
    <t>Largest value</t>
  </si>
  <si>
    <t>Max minus Min</t>
  </si>
  <si>
    <t>25th percentile</t>
  </si>
  <si>
    <t>Quartile 1</t>
  </si>
  <si>
    <t>Q2</t>
  </si>
  <si>
    <t>50th percentile</t>
  </si>
  <si>
    <t>Median / Q2</t>
  </si>
  <si>
    <t>75th percentile</t>
  </si>
  <si>
    <t>Quartile 3</t>
  </si>
  <si>
    <t>Q3 minus Q1</t>
  </si>
  <si>
    <t>Variance using n-1</t>
  </si>
  <si>
    <t>Sample variance</t>
  </si>
  <si>
    <t>Variance using N</t>
  </si>
  <si>
    <t>Population variance</t>
  </si>
  <si>
    <t>Sample standard deviation</t>
  </si>
  <si>
    <t>Population standard deviation</t>
  </si>
  <si>
    <t>Count numeric cells</t>
  </si>
  <si>
    <t>Data checking</t>
  </si>
  <si>
    <t>Count category</t>
  </si>
  <si>
    <t>Count matching a category</t>
  </si>
  <si>
    <t>Frequency</t>
  </si>
  <si>
    <t>Average with condition</t>
  </si>
  <si>
    <t>Mean for a subgroup</t>
  </si>
  <si>
    <t>Filtered/subgroup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</si>
</sst>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4" borderId="0" xfId="0" applyFill="1"/>
    <xf numFmtId="2" fontId="0" fillId="0" borderId="0" xfId="0" applyNumberFormat="1" applyAlignment="1">
      <alignment vertical="top" wrapText="1"/>
    </xf>
    <xf numFmtId="2" fontId="0" fillId="0" borderId="0" xfId="0" applyNumberFormat="1"/>
    <xf numFmtId="2" fontId="4" fillId="2" borderId="0" xfId="0" applyNumberFormat="1" applyFont="1" applyFill="1" applyAlignment="1">
      <alignment vertical="top" wrapText="1"/>
    </xf>
    <xf numFmtId="2" fontId="4" fillId="2" borderId="0" xfId="0" applyNumberFormat="1" applyFont="1" applyFill="1"/>
    <xf numFmtId="0" fontId="4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Students by Gender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Frequency!$B$4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Frequency!$A$5:$A$6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Frequency!$B$5:$B$6</c:f>
              <c:numCache>
                <c:formatCode>General</c:formatCode>
                <c:ptCount val="2"/>
                <c:pt idx="0">
                  <c:v>29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4-48D6-B056-FDD0F35E9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Satisfaction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Frequency!$B$11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Frequency!$A$12:$A$16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Frequency!$B$12:$B$16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13</c:v>
                </c:pt>
                <c:pt idx="3">
                  <c:v>6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C-4536-816A-8BF9E213583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GPA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Charts!$B$19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Charts!$A$20:$A$25</c:f>
              <c:strCache>
                <c:ptCount val="6"/>
                <c:pt idx="0">
                  <c:v>2.0–2.49</c:v>
                </c:pt>
                <c:pt idx="1">
                  <c:v>2.5–2.99</c:v>
                </c:pt>
                <c:pt idx="2">
                  <c:v>3.0–3.49</c:v>
                </c:pt>
                <c:pt idx="3">
                  <c:v>3.5–3.99</c:v>
                </c:pt>
                <c:pt idx="4">
                  <c:v>4.0–4.49</c:v>
                </c:pt>
                <c:pt idx="5">
                  <c:v>4.5–5.00</c:v>
                </c:pt>
              </c:strCache>
            </c:strRef>
          </c:cat>
          <c:val>
            <c:numRef>
              <c:f>Charts!$B$20:$B$25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13</c:v>
                </c:pt>
                <c:pt idx="4">
                  <c:v>13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5-41A4-9601-4A22BD7B1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GPA range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Study Hours vs GPA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Students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Clean_Data!$E$3:$E$52</c:f>
              <c:numCache>
                <c:formatCode>General</c:formatCode>
                <c:ptCount val="50"/>
                <c:pt idx="0">
                  <c:v>17.5</c:v>
                </c:pt>
                <c:pt idx="1">
                  <c:v>9.1</c:v>
                </c:pt>
                <c:pt idx="2">
                  <c:v>10.8</c:v>
                </c:pt>
                <c:pt idx="3">
                  <c:v>2</c:v>
                </c:pt>
                <c:pt idx="4">
                  <c:v>9.3000000000000007</c:v>
                </c:pt>
                <c:pt idx="5">
                  <c:v>8.9</c:v>
                </c:pt>
                <c:pt idx="6">
                  <c:v>12.7</c:v>
                </c:pt>
                <c:pt idx="8">
                  <c:v>10.3</c:v>
                </c:pt>
                <c:pt idx="9">
                  <c:v>8.1999999999999993</c:v>
                </c:pt>
                <c:pt idx="10">
                  <c:v>11.7</c:v>
                </c:pt>
                <c:pt idx="11">
                  <c:v>8.9</c:v>
                </c:pt>
                <c:pt idx="12">
                  <c:v>19.5</c:v>
                </c:pt>
                <c:pt idx="13">
                  <c:v>9.8000000000000007</c:v>
                </c:pt>
                <c:pt idx="14">
                  <c:v>12.1</c:v>
                </c:pt>
                <c:pt idx="15">
                  <c:v>14.9</c:v>
                </c:pt>
                <c:pt idx="16">
                  <c:v>7.4</c:v>
                </c:pt>
                <c:pt idx="17">
                  <c:v>11.8</c:v>
                </c:pt>
                <c:pt idx="18">
                  <c:v>8.4</c:v>
                </c:pt>
                <c:pt idx="19">
                  <c:v>12.1</c:v>
                </c:pt>
                <c:pt idx="20">
                  <c:v>10.5</c:v>
                </c:pt>
                <c:pt idx="21">
                  <c:v>14</c:v>
                </c:pt>
                <c:pt idx="22">
                  <c:v>8.8000000000000007</c:v>
                </c:pt>
                <c:pt idx="23">
                  <c:v>14.3</c:v>
                </c:pt>
                <c:pt idx="24">
                  <c:v>13.2</c:v>
                </c:pt>
                <c:pt idx="25">
                  <c:v>9.9</c:v>
                </c:pt>
                <c:pt idx="26">
                  <c:v>7.1</c:v>
                </c:pt>
                <c:pt idx="27">
                  <c:v>10.1</c:v>
                </c:pt>
                <c:pt idx="28">
                  <c:v>10.7</c:v>
                </c:pt>
                <c:pt idx="29">
                  <c:v>12.7</c:v>
                </c:pt>
                <c:pt idx="30">
                  <c:v>7.4</c:v>
                </c:pt>
                <c:pt idx="31">
                  <c:v>8.6</c:v>
                </c:pt>
                <c:pt idx="32">
                  <c:v>11.6</c:v>
                </c:pt>
                <c:pt idx="33">
                  <c:v>5.2</c:v>
                </c:pt>
                <c:pt idx="34">
                  <c:v>13.1</c:v>
                </c:pt>
                <c:pt idx="35">
                  <c:v>7.3</c:v>
                </c:pt>
                <c:pt idx="36">
                  <c:v>18.3</c:v>
                </c:pt>
                <c:pt idx="37">
                  <c:v>9.1999999999999993</c:v>
                </c:pt>
                <c:pt idx="38">
                  <c:v>19.8</c:v>
                </c:pt>
                <c:pt idx="39">
                  <c:v>7</c:v>
                </c:pt>
                <c:pt idx="40">
                  <c:v>11</c:v>
                </c:pt>
                <c:pt idx="41">
                  <c:v>14.2</c:v>
                </c:pt>
                <c:pt idx="42">
                  <c:v>16.8</c:v>
                </c:pt>
                <c:pt idx="43">
                  <c:v>5.2</c:v>
                </c:pt>
                <c:pt idx="44">
                  <c:v>11.6</c:v>
                </c:pt>
                <c:pt idx="45">
                  <c:v>6.6</c:v>
                </c:pt>
                <c:pt idx="46">
                  <c:v>11.1</c:v>
                </c:pt>
                <c:pt idx="47">
                  <c:v>7.3</c:v>
                </c:pt>
                <c:pt idx="48">
                  <c:v>8.9</c:v>
                </c:pt>
                <c:pt idx="49">
                  <c:v>14.1</c:v>
                </c:pt>
              </c:numCache>
            </c:numRef>
          </c:xVal>
          <c:yVal>
            <c:numRef>
              <c:f>Clean_Data!$G$3:$G$52</c:f>
              <c:numCache>
                <c:formatCode>General</c:formatCode>
                <c:ptCount val="50"/>
                <c:pt idx="0">
                  <c:v>4.99</c:v>
                </c:pt>
                <c:pt idx="1">
                  <c:v>4.5999999999999996</c:v>
                </c:pt>
                <c:pt idx="2">
                  <c:v>3.68</c:v>
                </c:pt>
                <c:pt idx="3">
                  <c:v>4.13</c:v>
                </c:pt>
                <c:pt idx="4">
                  <c:v>3.01</c:v>
                </c:pt>
                <c:pt idx="5">
                  <c:v>4.38</c:v>
                </c:pt>
                <c:pt idx="6">
                  <c:v>4.47</c:v>
                </c:pt>
                <c:pt idx="7">
                  <c:v>3.43</c:v>
                </c:pt>
                <c:pt idx="8">
                  <c:v>3.94</c:v>
                </c:pt>
                <c:pt idx="9">
                  <c:v>3.72</c:v>
                </c:pt>
                <c:pt idx="10">
                  <c:v>2.4900000000000002</c:v>
                </c:pt>
                <c:pt idx="11">
                  <c:v>3.55</c:v>
                </c:pt>
                <c:pt idx="12">
                  <c:v>3.47</c:v>
                </c:pt>
                <c:pt idx="13">
                  <c:v>4.8499999999999996</c:v>
                </c:pt>
                <c:pt idx="14">
                  <c:v>3.72</c:v>
                </c:pt>
                <c:pt idx="15">
                  <c:v>3.49</c:v>
                </c:pt>
                <c:pt idx="16">
                  <c:v>4</c:v>
                </c:pt>
                <c:pt idx="17">
                  <c:v>4.8499999999999996</c:v>
                </c:pt>
                <c:pt idx="18">
                  <c:v>3.51</c:v>
                </c:pt>
                <c:pt idx="19">
                  <c:v>3.61</c:v>
                </c:pt>
                <c:pt idx="20">
                  <c:v>2.8</c:v>
                </c:pt>
                <c:pt idx="21">
                  <c:v>4.28</c:v>
                </c:pt>
                <c:pt idx="22">
                  <c:v>3.47</c:v>
                </c:pt>
                <c:pt idx="23">
                  <c:v>4.09</c:v>
                </c:pt>
                <c:pt idx="24">
                  <c:v>4.38</c:v>
                </c:pt>
                <c:pt idx="25">
                  <c:v>3.2</c:v>
                </c:pt>
                <c:pt idx="26">
                  <c:v>3.82</c:v>
                </c:pt>
                <c:pt idx="27">
                  <c:v>4.57</c:v>
                </c:pt>
                <c:pt idx="28">
                  <c:v>3.56</c:v>
                </c:pt>
                <c:pt idx="29">
                  <c:v>3.87</c:v>
                </c:pt>
                <c:pt idx="30">
                  <c:v>2.59</c:v>
                </c:pt>
                <c:pt idx="31">
                  <c:v>2.5099999999999998</c:v>
                </c:pt>
                <c:pt idx="32">
                  <c:v>4.6900000000000004</c:v>
                </c:pt>
                <c:pt idx="33">
                  <c:v>4.97</c:v>
                </c:pt>
                <c:pt idx="34">
                  <c:v>5</c:v>
                </c:pt>
                <c:pt idx="35">
                  <c:v>4.18</c:v>
                </c:pt>
                <c:pt idx="36">
                  <c:v>2.9</c:v>
                </c:pt>
                <c:pt idx="37">
                  <c:v>3.77</c:v>
                </c:pt>
                <c:pt idx="38">
                  <c:v>4.24</c:v>
                </c:pt>
                <c:pt idx="39">
                  <c:v>3.35</c:v>
                </c:pt>
                <c:pt idx="40">
                  <c:v>3.91</c:v>
                </c:pt>
                <c:pt idx="41">
                  <c:v>3.48</c:v>
                </c:pt>
                <c:pt idx="42">
                  <c:v>4.83</c:v>
                </c:pt>
                <c:pt idx="43">
                  <c:v>4.46</c:v>
                </c:pt>
                <c:pt idx="44">
                  <c:v>3.07</c:v>
                </c:pt>
                <c:pt idx="45">
                  <c:v>3.12</c:v>
                </c:pt>
                <c:pt idx="46">
                  <c:v>4.13</c:v>
                </c:pt>
                <c:pt idx="47">
                  <c:v>4.3899999999999997</c:v>
                </c:pt>
                <c:pt idx="48">
                  <c:v>3.83</c:v>
                </c:pt>
                <c:pt idx="49">
                  <c:v>4.01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7E-4C71-B093-AC4545F5E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Study Hours / 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17</xdr:row>
      <xdr:rowOff>0</xdr:rowOff>
    </xdr:from>
    <xdr:ext cx="43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34" customWidth="1"/>
    <col min="2" max="2" width="28" customWidth="1"/>
    <col min="3" max="3" width="34" customWidth="1"/>
    <col min="4" max="8" width="11" customWidth="1"/>
  </cols>
  <sheetData>
    <row r="1" spans="1:8" ht="28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</row>
    <row r="3" spans="1:8" x14ac:dyDescent="0.35">
      <c r="A3" s="19" t="s">
        <v>1</v>
      </c>
      <c r="B3" s="16"/>
      <c r="C3" s="16"/>
      <c r="D3" s="16"/>
      <c r="E3" s="16"/>
      <c r="F3" s="16"/>
      <c r="G3" s="16"/>
      <c r="H3" s="16"/>
    </row>
    <row r="4" spans="1:8" x14ac:dyDescent="0.35">
      <c r="A4" s="2" t="s">
        <v>2</v>
      </c>
      <c r="B4" s="3" t="s">
        <v>3</v>
      </c>
      <c r="C4" s="18" t="s">
        <v>4</v>
      </c>
      <c r="D4" s="18"/>
      <c r="E4" s="18"/>
      <c r="F4" s="18"/>
      <c r="G4" s="18"/>
      <c r="H4" s="18"/>
    </row>
    <row r="5" spans="1:8" x14ac:dyDescent="0.35">
      <c r="A5" s="2" t="s">
        <v>5</v>
      </c>
      <c r="B5" s="3" t="s">
        <v>6</v>
      </c>
      <c r="C5" s="18" t="s">
        <v>7</v>
      </c>
      <c r="D5" s="18"/>
      <c r="E5" s="18"/>
      <c r="F5" s="18"/>
      <c r="G5" s="18"/>
      <c r="H5" s="18"/>
    </row>
    <row r="6" spans="1:8" x14ac:dyDescent="0.35">
      <c r="A6" s="2" t="s">
        <v>8</v>
      </c>
      <c r="B6" s="3" t="s">
        <v>9</v>
      </c>
      <c r="C6" s="18" t="s">
        <v>10</v>
      </c>
      <c r="D6" s="18"/>
      <c r="E6" s="18"/>
      <c r="F6" s="18"/>
      <c r="G6" s="18"/>
      <c r="H6" s="18"/>
    </row>
    <row r="7" spans="1:8" x14ac:dyDescent="0.35">
      <c r="A7" s="2" t="s">
        <v>11</v>
      </c>
      <c r="B7" s="3" t="s">
        <v>12</v>
      </c>
      <c r="C7" s="18" t="s">
        <v>13</v>
      </c>
      <c r="D7" s="18"/>
      <c r="E7" s="18"/>
      <c r="F7" s="18"/>
      <c r="G7" s="18"/>
      <c r="H7" s="18"/>
    </row>
    <row r="8" spans="1:8" x14ac:dyDescent="0.35">
      <c r="A8" s="2" t="s">
        <v>14</v>
      </c>
      <c r="B8" s="3" t="s">
        <v>15</v>
      </c>
      <c r="C8" s="18" t="s">
        <v>16</v>
      </c>
      <c r="D8" s="18"/>
      <c r="E8" s="18"/>
      <c r="F8" s="18"/>
      <c r="G8" s="18"/>
      <c r="H8" s="18"/>
    </row>
    <row r="9" spans="1:8" x14ac:dyDescent="0.35">
      <c r="A9" s="2" t="s">
        <v>17</v>
      </c>
      <c r="B9" s="3" t="s">
        <v>18</v>
      </c>
      <c r="C9" s="18" t="s">
        <v>19</v>
      </c>
      <c r="D9" s="18"/>
      <c r="E9" s="18"/>
      <c r="F9" s="18"/>
      <c r="G9" s="18"/>
      <c r="H9" s="18"/>
    </row>
    <row r="10" spans="1:8" x14ac:dyDescent="0.35">
      <c r="A10" s="2" t="s">
        <v>20</v>
      </c>
      <c r="B10" s="3" t="s">
        <v>21</v>
      </c>
      <c r="C10" s="18" t="s">
        <v>22</v>
      </c>
      <c r="D10" s="18"/>
      <c r="E10" s="18"/>
      <c r="F10" s="18"/>
      <c r="G10" s="18"/>
      <c r="H10" s="18"/>
    </row>
    <row r="11" spans="1:8" x14ac:dyDescent="0.35">
      <c r="A11" s="2" t="s">
        <v>23</v>
      </c>
      <c r="B11" s="3" t="s">
        <v>24</v>
      </c>
      <c r="C11" s="18" t="s">
        <v>25</v>
      </c>
      <c r="D11" s="18"/>
      <c r="E11" s="18"/>
      <c r="F11" s="18"/>
      <c r="G11" s="18"/>
      <c r="H11" s="18"/>
    </row>
    <row r="14" spans="1:8" x14ac:dyDescent="0.35">
      <c r="A14" s="19" t="s">
        <v>26</v>
      </c>
      <c r="B14" s="16"/>
      <c r="C14" s="16"/>
      <c r="D14" s="16"/>
      <c r="E14" s="16"/>
      <c r="F14" s="16"/>
      <c r="G14" s="16"/>
      <c r="H14" s="16"/>
    </row>
    <row r="15" spans="1:8" x14ac:dyDescent="0.35">
      <c r="A15" s="17" t="s">
        <v>27</v>
      </c>
      <c r="B15" s="16"/>
      <c r="C15" s="16"/>
      <c r="D15" s="16"/>
      <c r="E15" s="16"/>
      <c r="F15" s="16"/>
      <c r="G15" s="16"/>
      <c r="H15" s="16"/>
    </row>
    <row r="16" spans="1:8" x14ac:dyDescent="0.35">
      <c r="A16" s="17" t="s">
        <v>28</v>
      </c>
      <c r="B16" s="16"/>
      <c r="C16" s="16"/>
      <c r="D16" s="16"/>
      <c r="E16" s="16"/>
      <c r="F16" s="16"/>
      <c r="G16" s="16"/>
      <c r="H16" s="16"/>
    </row>
    <row r="17" spans="1:8" x14ac:dyDescent="0.35">
      <c r="A17" s="17" t="s">
        <v>29</v>
      </c>
      <c r="B17" s="16"/>
      <c r="C17" s="16"/>
      <c r="D17" s="16"/>
      <c r="E17" s="16"/>
      <c r="F17" s="16"/>
      <c r="G17" s="16"/>
      <c r="H17" s="16"/>
    </row>
    <row r="18" spans="1:8" x14ac:dyDescent="0.35">
      <c r="A18" s="17" t="s">
        <v>30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7" t="s">
        <v>31</v>
      </c>
      <c r="B19" s="16"/>
      <c r="C19" s="16"/>
      <c r="D19" s="16"/>
      <c r="E19" s="16"/>
      <c r="F19" s="16"/>
      <c r="G19" s="16"/>
      <c r="H19" s="16"/>
    </row>
    <row r="20" spans="1:8" x14ac:dyDescent="0.35">
      <c r="A20" s="17" t="s">
        <v>32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7" t="s">
        <v>33</v>
      </c>
      <c r="B21" s="16"/>
      <c r="C21" s="16"/>
      <c r="D21" s="16"/>
      <c r="E21" s="16"/>
      <c r="F21" s="16"/>
      <c r="G21" s="16"/>
      <c r="H21" s="16"/>
    </row>
  </sheetData>
  <mergeCells count="18">
    <mergeCell ref="C10:H10"/>
    <mergeCell ref="C4:H4"/>
    <mergeCell ref="A1:H1"/>
    <mergeCell ref="C7:H7"/>
    <mergeCell ref="A17:H17"/>
    <mergeCell ref="A21:H21"/>
    <mergeCell ref="A15:H15"/>
    <mergeCell ref="A20:H20"/>
    <mergeCell ref="C5:H5"/>
    <mergeCell ref="A16:H16"/>
    <mergeCell ref="C9:H9"/>
    <mergeCell ref="C8:H8"/>
    <mergeCell ref="A14:H14"/>
    <mergeCell ref="A19:H19"/>
    <mergeCell ref="A18:H18"/>
    <mergeCell ref="C11:H11"/>
    <mergeCell ref="C6:H6"/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>
      <pane ySplit="2" topLeftCell="A3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31" customWidth="1"/>
    <col min="3" max="3" width="13" customWidth="1"/>
    <col min="4" max="4" width="20" customWidth="1"/>
    <col min="5" max="5" width="16" customWidth="1"/>
    <col min="6" max="6" width="12" customWidth="1"/>
    <col min="7" max="7" width="33" customWidth="1"/>
    <col min="8" max="8" width="42" customWidth="1"/>
  </cols>
  <sheetData>
    <row r="1" spans="1:8" x14ac:dyDescent="0.35">
      <c r="A1" s="15" t="s">
        <v>34</v>
      </c>
      <c r="B1" s="16"/>
      <c r="C1" s="16"/>
      <c r="D1" s="16"/>
      <c r="E1" s="16"/>
      <c r="F1" s="16"/>
      <c r="G1" s="16"/>
      <c r="H1" s="16"/>
    </row>
    <row r="2" spans="1:8" x14ac:dyDescent="0.35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</row>
    <row r="3" spans="1:8" x14ac:dyDescent="0.3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</row>
    <row r="4" spans="1:8" x14ac:dyDescent="0.35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</row>
    <row r="5" spans="1:8" x14ac:dyDescent="0.35">
      <c r="A5" s="4" t="s">
        <v>59</v>
      </c>
      <c r="B5" s="4" t="s">
        <v>60</v>
      </c>
      <c r="C5" s="4" t="s">
        <v>61</v>
      </c>
      <c r="D5" s="4" t="s">
        <v>59</v>
      </c>
      <c r="E5" s="4" t="s">
        <v>62</v>
      </c>
      <c r="F5" s="4" t="s">
        <v>56</v>
      </c>
      <c r="G5" s="4" t="s">
        <v>63</v>
      </c>
      <c r="H5" s="4" t="s">
        <v>64</v>
      </c>
    </row>
    <row r="6" spans="1:8" x14ac:dyDescent="0.35">
      <c r="A6" s="4" t="s">
        <v>65</v>
      </c>
      <c r="B6" s="4" t="s">
        <v>66</v>
      </c>
      <c r="C6" s="4" t="s">
        <v>67</v>
      </c>
      <c r="D6" s="4" t="s">
        <v>68</v>
      </c>
      <c r="E6" s="4" t="s">
        <v>69</v>
      </c>
      <c r="F6" s="4" t="s">
        <v>67</v>
      </c>
      <c r="G6" s="4" t="s">
        <v>69</v>
      </c>
      <c r="H6" s="4" t="s">
        <v>70</v>
      </c>
    </row>
    <row r="7" spans="1:8" x14ac:dyDescent="0.35">
      <c r="A7" s="4" t="s">
        <v>71</v>
      </c>
      <c r="B7" s="4" t="s">
        <v>72</v>
      </c>
      <c r="C7" s="4" t="s">
        <v>67</v>
      </c>
      <c r="D7" s="4" t="s">
        <v>73</v>
      </c>
      <c r="E7" s="4" t="s">
        <v>46</v>
      </c>
      <c r="F7" s="4" t="s">
        <v>67</v>
      </c>
      <c r="G7" s="4" t="s">
        <v>74</v>
      </c>
      <c r="H7" s="4" t="s">
        <v>75</v>
      </c>
    </row>
    <row r="8" spans="1:8" x14ac:dyDescent="0.35">
      <c r="A8" s="4" t="s">
        <v>76</v>
      </c>
      <c r="B8" s="4" t="s">
        <v>77</v>
      </c>
      <c r="C8" s="4" t="s">
        <v>67</v>
      </c>
      <c r="D8" s="4" t="s">
        <v>78</v>
      </c>
      <c r="E8" s="4" t="s">
        <v>46</v>
      </c>
      <c r="F8" s="4" t="s">
        <v>67</v>
      </c>
      <c r="G8" s="4" t="s">
        <v>79</v>
      </c>
      <c r="H8" s="4" t="s">
        <v>80</v>
      </c>
    </row>
    <row r="9" spans="1:8" x14ac:dyDescent="0.35">
      <c r="A9" s="4" t="s">
        <v>81</v>
      </c>
      <c r="B9" s="4" t="s">
        <v>82</v>
      </c>
      <c r="C9" s="4" t="s">
        <v>67</v>
      </c>
      <c r="D9" s="4" t="s">
        <v>83</v>
      </c>
      <c r="E9" s="4" t="s">
        <v>46</v>
      </c>
      <c r="F9" s="4" t="s">
        <v>67</v>
      </c>
      <c r="G9" s="4" t="s">
        <v>84</v>
      </c>
      <c r="H9" s="4" t="s">
        <v>85</v>
      </c>
    </row>
    <row r="10" spans="1:8" x14ac:dyDescent="0.35">
      <c r="A10" s="4" t="s">
        <v>86</v>
      </c>
      <c r="B10" s="4" t="s">
        <v>87</v>
      </c>
      <c r="C10" s="4" t="s">
        <v>67</v>
      </c>
      <c r="D10" s="4" t="s">
        <v>88</v>
      </c>
      <c r="E10" s="4" t="s">
        <v>46</v>
      </c>
      <c r="F10" s="4" t="s">
        <v>67</v>
      </c>
      <c r="G10" s="4" t="s">
        <v>89</v>
      </c>
      <c r="H10" s="4" t="s">
        <v>90</v>
      </c>
    </row>
    <row r="11" spans="1:8" ht="29" x14ac:dyDescent="0.35">
      <c r="A11" s="4" t="s">
        <v>91</v>
      </c>
      <c r="B11" s="4" t="s">
        <v>92</v>
      </c>
      <c r="C11" s="4" t="s">
        <v>61</v>
      </c>
      <c r="D11" s="4" t="s">
        <v>93</v>
      </c>
      <c r="E11" s="4" t="s">
        <v>94</v>
      </c>
      <c r="F11" s="4" t="s">
        <v>61</v>
      </c>
      <c r="G11" s="4" t="s">
        <v>95</v>
      </c>
      <c r="H11" s="4" t="s">
        <v>96</v>
      </c>
    </row>
    <row r="12" spans="1:8" x14ac:dyDescent="0.35">
      <c r="A12" s="4" t="s">
        <v>97</v>
      </c>
      <c r="B12" s="4" t="s">
        <v>98</v>
      </c>
      <c r="C12" s="4" t="s">
        <v>67</v>
      </c>
      <c r="D12" s="4" t="s">
        <v>99</v>
      </c>
      <c r="E12" s="4" t="s">
        <v>46</v>
      </c>
      <c r="F12" s="4" t="s">
        <v>67</v>
      </c>
      <c r="G12" s="4" t="s">
        <v>100</v>
      </c>
      <c r="H12" s="4" t="s">
        <v>101</v>
      </c>
    </row>
  </sheetData>
  <autoFilter ref="A2:H12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showGridLines="0" workbookViewId="0">
      <pane ySplit="2" topLeftCell="A3" activePane="bottomLeft" state="frozen"/>
      <selection pane="bottomLeft" sqref="A1:J1"/>
    </sheetView>
  </sheetViews>
  <sheetFormatPr defaultRowHeight="14.5" x14ac:dyDescent="0.35"/>
  <cols>
    <col min="1" max="1" width="18" customWidth="1"/>
    <col min="2" max="4" width="11" customWidth="1"/>
    <col min="5" max="6" width="13" customWidth="1"/>
    <col min="7" max="8" width="11" customWidth="1"/>
    <col min="9" max="9" width="14" customWidth="1"/>
    <col min="10" max="10" width="12" customWidth="1"/>
  </cols>
  <sheetData>
    <row r="1" spans="1:17" x14ac:dyDescent="0.35">
      <c r="A1" s="15" t="s">
        <v>102</v>
      </c>
      <c r="B1" s="16"/>
      <c r="C1" s="16"/>
      <c r="D1" s="16"/>
      <c r="E1" s="16"/>
      <c r="F1" s="16"/>
      <c r="G1" s="16"/>
      <c r="H1" s="16"/>
      <c r="I1" s="16"/>
      <c r="J1" s="16"/>
    </row>
    <row r="2" spans="1:17" ht="29" x14ac:dyDescent="0.35">
      <c r="A2" s="5" t="s">
        <v>43</v>
      </c>
      <c r="B2" s="5" t="s">
        <v>51</v>
      </c>
      <c r="C2" s="5" t="s">
        <v>59</v>
      </c>
      <c r="D2" s="5" t="s">
        <v>65</v>
      </c>
      <c r="E2" s="5" t="s">
        <v>71</v>
      </c>
      <c r="F2" s="5" t="s">
        <v>76</v>
      </c>
      <c r="G2" s="5" t="s">
        <v>81</v>
      </c>
      <c r="H2" s="5" t="s">
        <v>86</v>
      </c>
      <c r="I2" s="5" t="s">
        <v>91</v>
      </c>
      <c r="J2" s="5" t="s">
        <v>97</v>
      </c>
      <c r="L2" s="5" t="s">
        <v>103</v>
      </c>
    </row>
    <row r="3" spans="1:17" x14ac:dyDescent="0.35">
      <c r="A3" s="4">
        <v>1</v>
      </c>
      <c r="B3" s="4" t="s">
        <v>104</v>
      </c>
      <c r="C3" s="4">
        <v>3</v>
      </c>
      <c r="D3" s="4">
        <v>23</v>
      </c>
      <c r="E3" s="4">
        <v>17.5</v>
      </c>
      <c r="F3" s="4">
        <v>6.6</v>
      </c>
      <c r="G3" s="4">
        <v>4.99</v>
      </c>
      <c r="H3" s="4">
        <v>111</v>
      </c>
      <c r="I3" s="4">
        <v>5</v>
      </c>
      <c r="J3" s="4">
        <v>82</v>
      </c>
      <c r="L3" s="17" t="s">
        <v>105</v>
      </c>
      <c r="M3" s="16"/>
      <c r="N3" s="16"/>
      <c r="O3" s="16"/>
      <c r="P3" s="16"/>
      <c r="Q3" s="16"/>
    </row>
    <row r="4" spans="1:17" x14ac:dyDescent="0.35">
      <c r="A4" s="4">
        <v>2</v>
      </c>
      <c r="B4" s="4" t="s">
        <v>106</v>
      </c>
      <c r="C4" s="4">
        <v>5</v>
      </c>
      <c r="D4" s="4">
        <v>24</v>
      </c>
      <c r="E4" s="4">
        <v>9.1</v>
      </c>
      <c r="F4" s="4">
        <v>7.1</v>
      </c>
      <c r="G4" s="4">
        <v>4.5999999999999996</v>
      </c>
      <c r="H4" s="4">
        <v>135</v>
      </c>
      <c r="I4" s="4">
        <v>4</v>
      </c>
      <c r="J4" s="4">
        <v>97.4</v>
      </c>
      <c r="L4" s="16"/>
      <c r="M4" s="16"/>
      <c r="N4" s="16"/>
      <c r="O4" s="16"/>
      <c r="P4" s="16"/>
      <c r="Q4" s="16"/>
    </row>
    <row r="5" spans="1:17" x14ac:dyDescent="0.35">
      <c r="A5" s="4">
        <v>3</v>
      </c>
      <c r="B5" s="4" t="s">
        <v>104</v>
      </c>
      <c r="C5" s="4">
        <v>6</v>
      </c>
      <c r="D5" s="4">
        <v>25</v>
      </c>
      <c r="E5" s="4">
        <v>10.8</v>
      </c>
      <c r="F5" s="4">
        <v>6.4</v>
      </c>
      <c r="G5" s="4">
        <v>3.68</v>
      </c>
      <c r="H5" s="4">
        <v>150</v>
      </c>
      <c r="I5" s="4">
        <v>3</v>
      </c>
      <c r="J5" s="4">
        <v>98.8</v>
      </c>
      <c r="L5" s="16"/>
      <c r="M5" s="16"/>
      <c r="N5" s="16"/>
      <c r="O5" s="16"/>
      <c r="P5" s="16"/>
      <c r="Q5" s="16"/>
    </row>
    <row r="6" spans="1:17" x14ac:dyDescent="0.35">
      <c r="A6" s="4">
        <v>4</v>
      </c>
      <c r="B6" s="4" t="s">
        <v>104</v>
      </c>
      <c r="C6" s="4">
        <v>6</v>
      </c>
      <c r="D6" s="4">
        <v>25</v>
      </c>
      <c r="E6" s="4">
        <v>2</v>
      </c>
      <c r="F6" s="4">
        <v>8.1</v>
      </c>
      <c r="G6" s="4">
        <v>4.13</v>
      </c>
      <c r="H6" s="4">
        <v>116</v>
      </c>
      <c r="I6" s="4">
        <v>5</v>
      </c>
      <c r="J6" s="4">
        <v>92.3</v>
      </c>
      <c r="L6" s="17" t="s">
        <v>107</v>
      </c>
      <c r="M6" s="16"/>
      <c r="N6" s="16"/>
      <c r="O6" s="16"/>
      <c r="P6" s="16"/>
      <c r="Q6" s="16"/>
    </row>
    <row r="7" spans="1:17" x14ac:dyDescent="0.35">
      <c r="A7" s="4">
        <v>5</v>
      </c>
      <c r="B7" s="4" t="s">
        <v>106</v>
      </c>
      <c r="C7" s="4">
        <v>1</v>
      </c>
      <c r="D7" s="4">
        <v>20</v>
      </c>
      <c r="E7" s="4">
        <v>9.3000000000000007</v>
      </c>
      <c r="F7" s="4">
        <v>7.8</v>
      </c>
      <c r="G7" s="4">
        <v>3.01</v>
      </c>
      <c r="H7" s="4">
        <v>127</v>
      </c>
      <c r="I7" s="4">
        <v>4</v>
      </c>
      <c r="J7" s="4">
        <v>93.7</v>
      </c>
      <c r="L7" s="16"/>
      <c r="M7" s="16"/>
      <c r="N7" s="16"/>
      <c r="O7" s="16"/>
      <c r="P7" s="16"/>
      <c r="Q7" s="16"/>
    </row>
    <row r="8" spans="1:17" x14ac:dyDescent="0.35">
      <c r="A8" s="4">
        <v>6</v>
      </c>
      <c r="B8" s="4" t="s">
        <v>106</v>
      </c>
      <c r="C8" s="4">
        <v>4</v>
      </c>
      <c r="D8" s="4">
        <v>24</v>
      </c>
      <c r="E8" s="4">
        <v>8.9</v>
      </c>
      <c r="F8" s="4">
        <v>6.9</v>
      </c>
      <c r="G8" s="4">
        <v>4.38</v>
      </c>
      <c r="H8" s="4">
        <v>130</v>
      </c>
      <c r="I8" s="4">
        <v>5</v>
      </c>
      <c r="J8" s="4">
        <v>83.9</v>
      </c>
      <c r="L8" s="16"/>
      <c r="M8" s="16"/>
      <c r="N8" s="16"/>
      <c r="O8" s="16"/>
      <c r="P8" s="16"/>
      <c r="Q8" s="16"/>
    </row>
    <row r="9" spans="1:17" x14ac:dyDescent="0.35">
      <c r="A9" s="4">
        <v>7</v>
      </c>
      <c r="B9" s="4" t="s">
        <v>104</v>
      </c>
      <c r="C9" s="4">
        <v>5</v>
      </c>
      <c r="D9" s="4">
        <v>23</v>
      </c>
      <c r="E9" s="4">
        <v>12.7</v>
      </c>
      <c r="F9" s="4">
        <v>5.2</v>
      </c>
      <c r="G9" s="4">
        <v>4.47</v>
      </c>
      <c r="H9" s="4">
        <v>115</v>
      </c>
      <c r="I9" s="4">
        <v>1</v>
      </c>
      <c r="J9" s="4">
        <v>86.3</v>
      </c>
    </row>
    <row r="10" spans="1:17" x14ac:dyDescent="0.35">
      <c r="A10" s="4">
        <v>8</v>
      </c>
      <c r="B10" s="4" t="s">
        <v>104</v>
      </c>
      <c r="C10" s="4">
        <v>4</v>
      </c>
      <c r="D10" s="4">
        <v>22</v>
      </c>
      <c r="E10" s="6"/>
      <c r="F10" s="4">
        <v>7.3</v>
      </c>
      <c r="G10" s="4">
        <v>3.43</v>
      </c>
      <c r="H10" s="4">
        <v>113</v>
      </c>
      <c r="I10" s="4">
        <v>5</v>
      </c>
      <c r="J10" s="4">
        <v>76.599999999999994</v>
      </c>
    </row>
    <row r="11" spans="1:17" x14ac:dyDescent="0.35">
      <c r="A11" s="4">
        <v>9</v>
      </c>
      <c r="B11" s="4" t="s">
        <v>106</v>
      </c>
      <c r="C11" s="4">
        <v>5</v>
      </c>
      <c r="D11" s="4">
        <v>24</v>
      </c>
      <c r="E11" s="4">
        <v>10.3</v>
      </c>
      <c r="F11" s="4">
        <v>6.2</v>
      </c>
      <c r="G11" s="4">
        <v>3.94</v>
      </c>
      <c r="H11" s="4">
        <v>105</v>
      </c>
      <c r="I11" s="4">
        <v>4</v>
      </c>
      <c r="J11" s="4">
        <v>90.7</v>
      </c>
    </row>
    <row r="12" spans="1:17" x14ac:dyDescent="0.35">
      <c r="A12" s="4">
        <v>10</v>
      </c>
      <c r="B12" s="4" t="s">
        <v>104</v>
      </c>
      <c r="C12" s="4">
        <v>3</v>
      </c>
      <c r="D12" s="4">
        <v>22</v>
      </c>
      <c r="E12" s="4">
        <v>8.1999999999999993</v>
      </c>
      <c r="F12" s="4">
        <v>7.6</v>
      </c>
      <c r="G12" s="4">
        <v>3.72</v>
      </c>
      <c r="H12" s="4">
        <v>141</v>
      </c>
      <c r="I12" s="4">
        <v>5</v>
      </c>
      <c r="J12" s="4">
        <v>74.3</v>
      </c>
    </row>
    <row r="13" spans="1:17" x14ac:dyDescent="0.35">
      <c r="A13" s="4">
        <v>11</v>
      </c>
      <c r="B13" s="4" t="s">
        <v>106</v>
      </c>
      <c r="C13" s="4">
        <v>3</v>
      </c>
      <c r="D13" s="4">
        <v>21</v>
      </c>
      <c r="E13" s="4">
        <v>11.7</v>
      </c>
      <c r="F13" s="4">
        <v>8.1999999999999993</v>
      </c>
      <c r="G13" s="4">
        <v>2.4900000000000002</v>
      </c>
      <c r="H13" s="4">
        <v>116</v>
      </c>
      <c r="I13" s="4">
        <v>4</v>
      </c>
      <c r="J13" s="4">
        <v>71.7</v>
      </c>
    </row>
    <row r="14" spans="1:17" x14ac:dyDescent="0.35">
      <c r="A14" s="4">
        <v>12</v>
      </c>
      <c r="B14" s="4" t="s">
        <v>106</v>
      </c>
      <c r="C14" s="4">
        <v>3</v>
      </c>
      <c r="D14" s="4">
        <v>22</v>
      </c>
      <c r="E14" s="4">
        <v>8.9</v>
      </c>
      <c r="F14" s="4">
        <v>7.4</v>
      </c>
      <c r="G14" s="4">
        <v>3.55</v>
      </c>
      <c r="H14" s="4">
        <v>110</v>
      </c>
      <c r="I14" s="4">
        <v>5</v>
      </c>
      <c r="J14" s="4">
        <v>75</v>
      </c>
    </row>
    <row r="15" spans="1:17" x14ac:dyDescent="0.35">
      <c r="A15" s="4">
        <v>13</v>
      </c>
      <c r="B15" s="4" t="s">
        <v>106</v>
      </c>
      <c r="C15" s="4">
        <v>4</v>
      </c>
      <c r="D15" s="4">
        <v>22</v>
      </c>
      <c r="E15" s="4">
        <v>19.5</v>
      </c>
      <c r="F15" s="4">
        <v>6.6</v>
      </c>
      <c r="G15" s="4">
        <v>3.47</v>
      </c>
      <c r="H15" s="4">
        <v>119</v>
      </c>
      <c r="I15" s="4">
        <v>3</v>
      </c>
      <c r="J15" s="4">
        <v>94.3</v>
      </c>
    </row>
    <row r="16" spans="1:17" x14ac:dyDescent="0.35">
      <c r="A16" s="4">
        <v>14</v>
      </c>
      <c r="B16" s="4" t="s">
        <v>104</v>
      </c>
      <c r="C16" s="4">
        <v>6</v>
      </c>
      <c r="D16" s="4">
        <v>25</v>
      </c>
      <c r="E16" s="4">
        <v>9.8000000000000007</v>
      </c>
      <c r="F16" s="4">
        <v>8.4</v>
      </c>
      <c r="G16" s="4">
        <v>4.8499999999999996</v>
      </c>
      <c r="H16" s="4">
        <v>129</v>
      </c>
      <c r="I16" s="4">
        <v>5</v>
      </c>
      <c r="J16" s="4">
        <v>92.8</v>
      </c>
    </row>
    <row r="17" spans="1:10" x14ac:dyDescent="0.35">
      <c r="A17" s="4">
        <v>15</v>
      </c>
      <c r="B17" s="4" t="s">
        <v>104</v>
      </c>
      <c r="C17" s="4">
        <v>5</v>
      </c>
      <c r="D17" s="4">
        <v>23</v>
      </c>
      <c r="E17" s="4">
        <v>12.1</v>
      </c>
      <c r="F17" s="4">
        <v>8.4</v>
      </c>
      <c r="G17" s="4">
        <v>3.72</v>
      </c>
      <c r="H17" s="4">
        <v>90</v>
      </c>
      <c r="I17" s="4">
        <v>3</v>
      </c>
      <c r="J17" s="4">
        <v>91.9</v>
      </c>
    </row>
    <row r="18" spans="1:10" x14ac:dyDescent="0.35">
      <c r="A18" s="4">
        <v>16</v>
      </c>
      <c r="B18" s="4" t="s">
        <v>106</v>
      </c>
      <c r="C18" s="4">
        <v>6</v>
      </c>
      <c r="D18" s="4">
        <v>24</v>
      </c>
      <c r="E18" s="4">
        <v>14.9</v>
      </c>
      <c r="F18" s="4">
        <v>5.9</v>
      </c>
      <c r="G18" s="4">
        <v>3.49</v>
      </c>
      <c r="H18" s="4">
        <v>129</v>
      </c>
      <c r="I18" s="4">
        <v>5</v>
      </c>
      <c r="J18" s="4">
        <v>95.9</v>
      </c>
    </row>
    <row r="19" spans="1:10" x14ac:dyDescent="0.35">
      <c r="A19" s="4">
        <v>17</v>
      </c>
      <c r="B19" s="4" t="s">
        <v>106</v>
      </c>
      <c r="C19" s="4">
        <v>1</v>
      </c>
      <c r="D19" s="4">
        <v>20</v>
      </c>
      <c r="E19" s="4">
        <v>7.4</v>
      </c>
      <c r="F19" s="4">
        <v>5</v>
      </c>
      <c r="G19" s="4">
        <v>4</v>
      </c>
      <c r="H19" s="4">
        <v>92</v>
      </c>
      <c r="I19" s="4">
        <v>3</v>
      </c>
      <c r="J19" s="4">
        <v>80</v>
      </c>
    </row>
    <row r="20" spans="1:10" x14ac:dyDescent="0.35">
      <c r="A20" s="4">
        <v>18</v>
      </c>
      <c r="B20" s="4" t="s">
        <v>104</v>
      </c>
      <c r="C20" s="4">
        <v>5</v>
      </c>
      <c r="D20" s="4">
        <v>23</v>
      </c>
      <c r="E20" s="4">
        <v>11.8</v>
      </c>
      <c r="F20" s="4">
        <v>5.2</v>
      </c>
      <c r="G20" s="4">
        <v>4.8499999999999996</v>
      </c>
      <c r="H20" s="4">
        <v>114</v>
      </c>
      <c r="I20" s="4">
        <v>3</v>
      </c>
      <c r="J20" s="4">
        <v>90</v>
      </c>
    </row>
    <row r="21" spans="1:10" x14ac:dyDescent="0.35">
      <c r="A21" s="4">
        <v>19</v>
      </c>
      <c r="B21" s="4" t="s">
        <v>106</v>
      </c>
      <c r="C21" s="4">
        <v>1</v>
      </c>
      <c r="D21" s="4">
        <v>19</v>
      </c>
      <c r="E21" s="4">
        <v>8.4</v>
      </c>
      <c r="F21" s="4">
        <v>6.9</v>
      </c>
      <c r="G21" s="4">
        <v>3.51</v>
      </c>
      <c r="H21" s="4">
        <v>128</v>
      </c>
      <c r="I21" s="4">
        <v>1</v>
      </c>
      <c r="J21" s="4">
        <v>79</v>
      </c>
    </row>
    <row r="22" spans="1:10" x14ac:dyDescent="0.35">
      <c r="A22" s="4">
        <v>20</v>
      </c>
      <c r="B22" s="4" t="s">
        <v>104</v>
      </c>
      <c r="C22" s="4">
        <v>2</v>
      </c>
      <c r="D22" s="4">
        <v>22</v>
      </c>
      <c r="E22" s="4">
        <v>12.1</v>
      </c>
      <c r="F22" s="4">
        <v>5.9</v>
      </c>
      <c r="G22" s="4">
        <v>3.61</v>
      </c>
      <c r="H22" s="4">
        <v>110</v>
      </c>
      <c r="I22" s="4">
        <v>1</v>
      </c>
      <c r="J22" s="4">
        <v>97.2</v>
      </c>
    </row>
    <row r="23" spans="1:10" x14ac:dyDescent="0.35">
      <c r="A23" s="4">
        <v>21</v>
      </c>
      <c r="B23" s="4" t="s">
        <v>106</v>
      </c>
      <c r="C23" s="4">
        <v>1</v>
      </c>
      <c r="D23" s="4">
        <v>19</v>
      </c>
      <c r="E23" s="4">
        <v>10.5</v>
      </c>
      <c r="F23" s="4">
        <v>6.5</v>
      </c>
      <c r="G23" s="4">
        <v>2.8</v>
      </c>
      <c r="H23" s="4">
        <v>96</v>
      </c>
      <c r="I23" s="4">
        <v>1</v>
      </c>
      <c r="J23" s="4">
        <v>75.2</v>
      </c>
    </row>
    <row r="24" spans="1:10" x14ac:dyDescent="0.35">
      <c r="A24" s="4">
        <v>22</v>
      </c>
      <c r="B24" s="4" t="s">
        <v>104</v>
      </c>
      <c r="C24" s="4">
        <v>4</v>
      </c>
      <c r="D24" s="4">
        <v>22</v>
      </c>
      <c r="E24" s="4">
        <v>14</v>
      </c>
      <c r="F24" s="4">
        <v>7.8</v>
      </c>
      <c r="G24" s="4">
        <v>4.28</v>
      </c>
      <c r="H24" s="4">
        <v>148</v>
      </c>
      <c r="I24" s="4">
        <v>2</v>
      </c>
      <c r="J24" s="4">
        <v>78.599999999999994</v>
      </c>
    </row>
    <row r="25" spans="1:10" x14ac:dyDescent="0.35">
      <c r="A25" s="4">
        <v>23</v>
      </c>
      <c r="B25" s="4" t="s">
        <v>104</v>
      </c>
      <c r="C25" s="4">
        <v>6</v>
      </c>
      <c r="D25" s="4">
        <v>24</v>
      </c>
      <c r="E25" s="4">
        <v>8.8000000000000007</v>
      </c>
      <c r="F25" s="4">
        <v>7.7</v>
      </c>
      <c r="G25" s="4">
        <v>3.47</v>
      </c>
      <c r="H25" s="4">
        <v>120</v>
      </c>
      <c r="I25" s="4">
        <v>3</v>
      </c>
      <c r="J25" s="4">
        <v>89.9</v>
      </c>
    </row>
    <row r="26" spans="1:10" x14ac:dyDescent="0.35">
      <c r="A26" s="4">
        <v>24</v>
      </c>
      <c r="B26" s="4" t="s">
        <v>106</v>
      </c>
      <c r="C26" s="4">
        <v>4</v>
      </c>
      <c r="D26" s="4">
        <v>23</v>
      </c>
      <c r="E26" s="4">
        <v>14.3</v>
      </c>
      <c r="F26" s="4">
        <v>6.9</v>
      </c>
      <c r="G26" s="4">
        <v>4.09</v>
      </c>
      <c r="H26" s="4">
        <v>105</v>
      </c>
      <c r="I26" s="4">
        <v>5</v>
      </c>
      <c r="J26" s="4">
        <v>86.9</v>
      </c>
    </row>
    <row r="27" spans="1:10" x14ac:dyDescent="0.35">
      <c r="A27" s="4">
        <v>25</v>
      </c>
      <c r="B27" s="4" t="s">
        <v>106</v>
      </c>
      <c r="C27" s="4">
        <v>1</v>
      </c>
      <c r="D27" s="4">
        <v>19</v>
      </c>
      <c r="E27" s="4">
        <v>13.2</v>
      </c>
      <c r="F27" s="4">
        <v>9.5</v>
      </c>
      <c r="G27" s="4">
        <v>4.38</v>
      </c>
      <c r="H27" s="4">
        <v>106</v>
      </c>
      <c r="I27" s="4">
        <v>4</v>
      </c>
      <c r="J27" s="4">
        <v>73.5</v>
      </c>
    </row>
    <row r="28" spans="1:10" x14ac:dyDescent="0.35">
      <c r="A28" s="4">
        <v>26</v>
      </c>
      <c r="B28" s="4" t="s">
        <v>104</v>
      </c>
      <c r="C28" s="4">
        <v>1</v>
      </c>
      <c r="D28" s="4">
        <v>20</v>
      </c>
      <c r="E28" s="4">
        <v>9.9</v>
      </c>
      <c r="F28" s="4">
        <v>7.5</v>
      </c>
      <c r="G28" s="4">
        <v>3.2</v>
      </c>
      <c r="H28" s="4">
        <v>110</v>
      </c>
      <c r="I28" s="4">
        <v>2</v>
      </c>
      <c r="J28" s="4">
        <v>74.900000000000006</v>
      </c>
    </row>
    <row r="29" spans="1:10" x14ac:dyDescent="0.35">
      <c r="A29" s="4">
        <v>27</v>
      </c>
      <c r="B29" s="4" t="s">
        <v>104</v>
      </c>
      <c r="C29" s="4">
        <v>5</v>
      </c>
      <c r="D29" s="4">
        <v>24</v>
      </c>
      <c r="E29" s="4">
        <v>7.1</v>
      </c>
      <c r="F29" s="4">
        <v>6.6</v>
      </c>
      <c r="G29" s="4">
        <v>3.82</v>
      </c>
      <c r="H29" s="4">
        <v>128</v>
      </c>
      <c r="I29" s="4">
        <v>3</v>
      </c>
      <c r="J29" s="4">
        <v>86</v>
      </c>
    </row>
    <row r="30" spans="1:10" x14ac:dyDescent="0.35">
      <c r="A30" s="4">
        <v>28</v>
      </c>
      <c r="B30" s="4" t="s">
        <v>106</v>
      </c>
      <c r="C30" s="4">
        <v>1</v>
      </c>
      <c r="D30" s="4">
        <v>20</v>
      </c>
      <c r="E30" s="4">
        <v>10.1</v>
      </c>
      <c r="F30" s="4">
        <v>7.7</v>
      </c>
      <c r="G30" s="4">
        <v>4.57</v>
      </c>
      <c r="H30" s="4">
        <v>119</v>
      </c>
      <c r="I30" s="4">
        <v>2</v>
      </c>
      <c r="J30" s="4">
        <v>75.2</v>
      </c>
    </row>
    <row r="31" spans="1:10" x14ac:dyDescent="0.35">
      <c r="A31" s="4">
        <v>29</v>
      </c>
      <c r="B31" s="4" t="s">
        <v>104</v>
      </c>
      <c r="C31" s="4">
        <v>5</v>
      </c>
      <c r="D31" s="4">
        <v>24</v>
      </c>
      <c r="E31" s="4">
        <v>10.7</v>
      </c>
      <c r="F31" s="4">
        <v>8.9</v>
      </c>
      <c r="G31" s="4">
        <v>3.56</v>
      </c>
      <c r="H31" s="4">
        <v>128</v>
      </c>
      <c r="I31" s="4">
        <v>3</v>
      </c>
      <c r="J31" s="4">
        <v>87.9</v>
      </c>
    </row>
    <row r="32" spans="1:10" x14ac:dyDescent="0.35">
      <c r="A32" s="4">
        <v>30</v>
      </c>
      <c r="B32" s="4" t="s">
        <v>106</v>
      </c>
      <c r="C32" s="4">
        <v>4</v>
      </c>
      <c r="D32" s="4">
        <v>22</v>
      </c>
      <c r="E32" s="4">
        <v>12.7</v>
      </c>
      <c r="F32" s="4">
        <v>7.7</v>
      </c>
      <c r="G32" s="4">
        <v>3.87</v>
      </c>
      <c r="H32" s="4">
        <v>116</v>
      </c>
      <c r="I32" s="4">
        <v>5</v>
      </c>
      <c r="J32" s="4">
        <v>91.3</v>
      </c>
    </row>
    <row r="33" spans="1:10" x14ac:dyDescent="0.35">
      <c r="A33" s="4">
        <v>31</v>
      </c>
      <c r="B33" s="4" t="s">
        <v>106</v>
      </c>
      <c r="C33" s="4">
        <v>3</v>
      </c>
      <c r="D33" s="4">
        <v>22</v>
      </c>
      <c r="E33" s="4">
        <v>7.4</v>
      </c>
      <c r="F33" s="4">
        <v>6.1</v>
      </c>
      <c r="G33" s="4">
        <v>2.59</v>
      </c>
      <c r="H33" s="4">
        <v>100</v>
      </c>
      <c r="I33" s="4">
        <v>3</v>
      </c>
      <c r="J33" s="4">
        <v>79.599999999999994</v>
      </c>
    </row>
    <row r="34" spans="1:10" x14ac:dyDescent="0.35">
      <c r="A34" s="4">
        <v>32</v>
      </c>
      <c r="B34" s="4" t="s">
        <v>106</v>
      </c>
      <c r="C34" s="4">
        <v>6</v>
      </c>
      <c r="D34" s="4">
        <v>24</v>
      </c>
      <c r="E34" s="4">
        <v>8.6</v>
      </c>
      <c r="F34" s="4">
        <v>6.2</v>
      </c>
      <c r="G34" s="4">
        <v>2.5099999999999998</v>
      </c>
      <c r="H34" s="4">
        <v>107</v>
      </c>
      <c r="I34" s="4">
        <v>4</v>
      </c>
      <c r="J34" s="4">
        <v>71.5</v>
      </c>
    </row>
    <row r="35" spans="1:10" x14ac:dyDescent="0.35">
      <c r="A35" s="4">
        <v>33</v>
      </c>
      <c r="B35" s="4" t="s">
        <v>106</v>
      </c>
      <c r="C35" s="4">
        <v>3</v>
      </c>
      <c r="D35" s="4">
        <v>21</v>
      </c>
      <c r="E35" s="4">
        <v>11.6</v>
      </c>
      <c r="F35" s="4">
        <v>5.9</v>
      </c>
      <c r="G35" s="4">
        <v>4.6900000000000004</v>
      </c>
      <c r="H35" s="4">
        <v>121</v>
      </c>
      <c r="I35" s="4">
        <v>3</v>
      </c>
      <c r="J35" s="4">
        <v>86</v>
      </c>
    </row>
    <row r="36" spans="1:10" x14ac:dyDescent="0.35">
      <c r="A36" s="4">
        <v>34</v>
      </c>
      <c r="B36" s="4" t="s">
        <v>104</v>
      </c>
      <c r="C36" s="4">
        <v>3</v>
      </c>
      <c r="D36" s="4">
        <v>22</v>
      </c>
      <c r="E36" s="4">
        <v>5.2</v>
      </c>
      <c r="F36" s="4">
        <v>6.1</v>
      </c>
      <c r="G36" s="4">
        <v>4.97</v>
      </c>
      <c r="H36" s="4">
        <v>107</v>
      </c>
      <c r="I36" s="4">
        <v>5</v>
      </c>
      <c r="J36" s="4">
        <v>86.1</v>
      </c>
    </row>
    <row r="37" spans="1:10" x14ac:dyDescent="0.35">
      <c r="A37" s="4">
        <v>35</v>
      </c>
      <c r="B37" s="4" t="s">
        <v>104</v>
      </c>
      <c r="C37" s="4">
        <v>6</v>
      </c>
      <c r="D37" s="4">
        <v>24</v>
      </c>
      <c r="E37" s="4">
        <v>13.1</v>
      </c>
      <c r="F37" s="4">
        <v>7.4</v>
      </c>
      <c r="G37" s="4">
        <v>5</v>
      </c>
      <c r="H37" s="4">
        <v>121</v>
      </c>
      <c r="I37" s="4">
        <v>5</v>
      </c>
      <c r="J37" s="4">
        <v>81</v>
      </c>
    </row>
    <row r="38" spans="1:10" x14ac:dyDescent="0.35">
      <c r="A38" s="4">
        <v>36</v>
      </c>
      <c r="B38" s="4" t="s">
        <v>104</v>
      </c>
      <c r="C38" s="4">
        <v>4</v>
      </c>
      <c r="D38" s="4">
        <v>24</v>
      </c>
      <c r="E38" s="4">
        <v>7.3</v>
      </c>
      <c r="F38" s="4">
        <v>7.7</v>
      </c>
      <c r="G38" s="4">
        <v>4.18</v>
      </c>
      <c r="H38" s="4">
        <v>103</v>
      </c>
      <c r="I38" s="4">
        <v>2</v>
      </c>
      <c r="J38" s="4">
        <v>97.7</v>
      </c>
    </row>
    <row r="39" spans="1:10" x14ac:dyDescent="0.35">
      <c r="A39" s="4">
        <v>37</v>
      </c>
      <c r="B39" s="4" t="s">
        <v>104</v>
      </c>
      <c r="C39" s="4">
        <v>2</v>
      </c>
      <c r="D39" s="4">
        <v>22</v>
      </c>
      <c r="E39" s="4">
        <v>18.3</v>
      </c>
      <c r="F39" s="4">
        <v>7.3</v>
      </c>
      <c r="G39" s="4">
        <v>2.9</v>
      </c>
      <c r="H39" s="4">
        <v>114</v>
      </c>
      <c r="I39" s="4">
        <v>3</v>
      </c>
      <c r="J39" s="4">
        <v>89.3</v>
      </c>
    </row>
    <row r="40" spans="1:10" x14ac:dyDescent="0.35">
      <c r="A40" s="4">
        <v>38</v>
      </c>
      <c r="B40" s="4" t="s">
        <v>104</v>
      </c>
      <c r="C40" s="4">
        <v>3</v>
      </c>
      <c r="D40" s="4">
        <v>23</v>
      </c>
      <c r="E40" s="4">
        <v>9.1999999999999993</v>
      </c>
      <c r="F40" s="4">
        <v>6.2</v>
      </c>
      <c r="G40" s="4">
        <v>3.77</v>
      </c>
      <c r="H40" s="4">
        <v>107</v>
      </c>
      <c r="I40" s="4">
        <v>5</v>
      </c>
      <c r="J40" s="4">
        <v>100</v>
      </c>
    </row>
    <row r="41" spans="1:10" x14ac:dyDescent="0.35">
      <c r="A41" s="4">
        <v>39</v>
      </c>
      <c r="B41" s="4" t="s">
        <v>104</v>
      </c>
      <c r="C41" s="4">
        <v>2</v>
      </c>
      <c r="D41" s="4">
        <v>22</v>
      </c>
      <c r="E41" s="4">
        <v>19.8</v>
      </c>
      <c r="F41" s="4">
        <v>7.5</v>
      </c>
      <c r="G41" s="4">
        <v>4.24</v>
      </c>
      <c r="H41" s="4">
        <v>98</v>
      </c>
      <c r="I41" s="4">
        <v>3</v>
      </c>
      <c r="J41" s="4">
        <v>79</v>
      </c>
    </row>
    <row r="42" spans="1:10" x14ac:dyDescent="0.35">
      <c r="A42" s="4">
        <v>40</v>
      </c>
      <c r="B42" s="4" t="s">
        <v>106</v>
      </c>
      <c r="C42" s="4">
        <v>1</v>
      </c>
      <c r="D42" s="4">
        <v>19</v>
      </c>
      <c r="E42" s="4">
        <v>7</v>
      </c>
      <c r="F42" s="4">
        <v>6.5</v>
      </c>
      <c r="G42" s="4">
        <v>3.35</v>
      </c>
      <c r="H42" s="4">
        <v>126</v>
      </c>
      <c r="I42" s="4">
        <v>5</v>
      </c>
      <c r="J42" s="4">
        <v>90</v>
      </c>
    </row>
    <row r="43" spans="1:10" x14ac:dyDescent="0.35">
      <c r="A43" s="4">
        <v>41</v>
      </c>
      <c r="B43" s="4" t="s">
        <v>104</v>
      </c>
      <c r="C43" s="4">
        <v>6</v>
      </c>
      <c r="D43" s="4">
        <v>25</v>
      </c>
      <c r="E43" s="4">
        <v>11</v>
      </c>
      <c r="F43" s="4">
        <v>6.1</v>
      </c>
      <c r="G43" s="4">
        <v>3.91</v>
      </c>
      <c r="H43" s="4">
        <v>103</v>
      </c>
      <c r="I43" s="4">
        <v>3</v>
      </c>
      <c r="J43" s="4">
        <v>85</v>
      </c>
    </row>
    <row r="44" spans="1:10" x14ac:dyDescent="0.35">
      <c r="A44" s="4">
        <v>42</v>
      </c>
      <c r="B44" s="4" t="s">
        <v>106</v>
      </c>
      <c r="C44" s="4">
        <v>4</v>
      </c>
      <c r="D44" s="4">
        <v>23</v>
      </c>
      <c r="E44" s="4">
        <v>14.2</v>
      </c>
      <c r="F44" s="4">
        <v>5.9</v>
      </c>
      <c r="G44" s="4">
        <v>3.48</v>
      </c>
      <c r="H44" s="4">
        <v>122</v>
      </c>
      <c r="I44" s="4">
        <v>2</v>
      </c>
      <c r="J44" s="4">
        <v>77.8</v>
      </c>
    </row>
    <row r="45" spans="1:10" x14ac:dyDescent="0.35">
      <c r="A45" s="4">
        <v>43</v>
      </c>
      <c r="B45" s="4" t="s">
        <v>104</v>
      </c>
      <c r="C45" s="4">
        <v>6</v>
      </c>
      <c r="D45" s="4">
        <v>25</v>
      </c>
      <c r="E45" s="4">
        <v>16.8</v>
      </c>
      <c r="F45" s="4">
        <v>8.6999999999999993</v>
      </c>
      <c r="G45" s="4">
        <v>4.83</v>
      </c>
      <c r="H45" s="4">
        <v>111</v>
      </c>
      <c r="I45" s="4">
        <v>5</v>
      </c>
      <c r="J45" s="4">
        <v>83.8</v>
      </c>
    </row>
    <row r="46" spans="1:10" x14ac:dyDescent="0.35">
      <c r="A46" s="4">
        <v>44</v>
      </c>
      <c r="B46" s="4" t="s">
        <v>104</v>
      </c>
      <c r="C46" s="4">
        <v>1</v>
      </c>
      <c r="D46" s="4">
        <v>20</v>
      </c>
      <c r="E46" s="4">
        <v>5.2</v>
      </c>
      <c r="F46" s="4">
        <v>5.9</v>
      </c>
      <c r="G46" s="4">
        <v>4.46</v>
      </c>
      <c r="H46" s="4">
        <v>131</v>
      </c>
      <c r="I46" s="4">
        <v>1</v>
      </c>
      <c r="J46" s="4">
        <v>98</v>
      </c>
    </row>
    <row r="47" spans="1:10" x14ac:dyDescent="0.35">
      <c r="A47" s="4">
        <v>45</v>
      </c>
      <c r="B47" s="4" t="s">
        <v>104</v>
      </c>
      <c r="C47" s="4">
        <v>6</v>
      </c>
      <c r="D47" s="4">
        <v>25</v>
      </c>
      <c r="E47" s="4">
        <v>11.6</v>
      </c>
      <c r="F47" s="4">
        <v>7.3</v>
      </c>
      <c r="G47" s="4">
        <v>3.07</v>
      </c>
      <c r="H47" s="4">
        <v>127</v>
      </c>
      <c r="I47" s="4">
        <v>5</v>
      </c>
      <c r="J47" s="4">
        <v>92.5</v>
      </c>
    </row>
    <row r="48" spans="1:10" x14ac:dyDescent="0.35">
      <c r="A48" s="4">
        <v>46</v>
      </c>
      <c r="B48" s="4" t="s">
        <v>104</v>
      </c>
      <c r="C48" s="4">
        <v>1</v>
      </c>
      <c r="D48" s="4">
        <v>19</v>
      </c>
      <c r="E48" s="4">
        <v>6.6</v>
      </c>
      <c r="F48" s="4">
        <v>6.9</v>
      </c>
      <c r="G48" s="4">
        <v>3.12</v>
      </c>
      <c r="H48" s="4">
        <v>118</v>
      </c>
      <c r="I48" s="4">
        <v>5</v>
      </c>
      <c r="J48" s="4">
        <v>90.3</v>
      </c>
    </row>
    <row r="49" spans="1:10" x14ac:dyDescent="0.35">
      <c r="A49" s="4">
        <v>47</v>
      </c>
      <c r="B49" s="4" t="s">
        <v>104</v>
      </c>
      <c r="C49" s="4">
        <v>2</v>
      </c>
      <c r="D49" s="4">
        <v>21</v>
      </c>
      <c r="E49" s="4">
        <v>11.1</v>
      </c>
      <c r="F49" s="4">
        <v>7.8</v>
      </c>
      <c r="G49" s="4">
        <v>4.13</v>
      </c>
      <c r="H49" s="4">
        <v>127</v>
      </c>
      <c r="I49" s="4">
        <v>1</v>
      </c>
      <c r="J49" s="4">
        <v>94.6</v>
      </c>
    </row>
    <row r="50" spans="1:10" x14ac:dyDescent="0.35">
      <c r="A50" s="4">
        <v>48</v>
      </c>
      <c r="B50" s="4" t="s">
        <v>106</v>
      </c>
      <c r="C50" s="4">
        <v>3</v>
      </c>
      <c r="D50" s="4">
        <v>23</v>
      </c>
      <c r="E50" s="4">
        <v>7.3</v>
      </c>
      <c r="F50" s="4">
        <v>7.6</v>
      </c>
      <c r="G50" s="4">
        <v>4.3899999999999997</v>
      </c>
      <c r="H50" s="4">
        <v>124</v>
      </c>
      <c r="I50" s="4">
        <v>2</v>
      </c>
      <c r="J50" s="4">
        <v>97</v>
      </c>
    </row>
    <row r="51" spans="1:10" x14ac:dyDescent="0.35">
      <c r="A51" s="4">
        <v>49</v>
      </c>
      <c r="B51" s="4" t="s">
        <v>104</v>
      </c>
      <c r="C51" s="4">
        <v>1</v>
      </c>
      <c r="D51" s="4">
        <v>21</v>
      </c>
      <c r="E51" s="4">
        <v>8.9</v>
      </c>
      <c r="F51" s="4">
        <v>5.6</v>
      </c>
      <c r="G51" s="4">
        <v>3.83</v>
      </c>
      <c r="H51" s="4">
        <v>95</v>
      </c>
      <c r="I51" s="4">
        <v>1</v>
      </c>
      <c r="J51" s="4">
        <v>84.2</v>
      </c>
    </row>
    <row r="52" spans="1:10" x14ac:dyDescent="0.35">
      <c r="A52" s="4">
        <v>50</v>
      </c>
      <c r="B52" s="4" t="s">
        <v>104</v>
      </c>
      <c r="C52" s="4">
        <v>5</v>
      </c>
      <c r="D52" s="4">
        <v>25</v>
      </c>
      <c r="E52" s="4">
        <v>14.1</v>
      </c>
      <c r="F52" s="4">
        <v>7</v>
      </c>
      <c r="G52" s="4">
        <v>4.01</v>
      </c>
      <c r="H52" s="4">
        <v>115</v>
      </c>
      <c r="I52" s="4">
        <v>1</v>
      </c>
      <c r="J52" s="4">
        <v>91.4</v>
      </c>
    </row>
  </sheetData>
  <autoFilter ref="A2:J52" xr:uid="{00000000-0009-0000-0000-000002000000}"/>
  <mergeCells count="3">
    <mergeCell ref="A1:J1"/>
    <mergeCell ref="L6:Q8"/>
    <mergeCell ref="L3:Q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8" customWidth="1"/>
    <col min="2" max="4" width="11" customWidth="1"/>
    <col min="5" max="6" width="13" customWidth="1"/>
    <col min="7" max="8" width="11" customWidth="1"/>
    <col min="9" max="9" width="14" customWidth="1"/>
    <col min="10" max="10" width="12" customWidth="1"/>
    <col min="11" max="11" width="11" customWidth="1"/>
    <col min="12" max="12" width="18" customWidth="1"/>
    <col min="13" max="17" width="11" customWidth="1"/>
  </cols>
  <sheetData>
    <row r="1" spans="1:17" x14ac:dyDescent="0.35">
      <c r="A1" s="15" t="s">
        <v>108</v>
      </c>
      <c r="B1" s="16"/>
      <c r="C1" s="16"/>
      <c r="D1" s="16"/>
      <c r="E1" s="16"/>
      <c r="F1" s="16"/>
      <c r="G1" s="16"/>
      <c r="H1" s="16"/>
      <c r="I1" s="16"/>
      <c r="J1" s="16"/>
    </row>
    <row r="2" spans="1:17" x14ac:dyDescent="0.35">
      <c r="A2" s="5" t="s">
        <v>43</v>
      </c>
      <c r="B2" s="5" t="s">
        <v>51</v>
      </c>
      <c r="C2" s="5" t="s">
        <v>59</v>
      </c>
      <c r="D2" s="5" t="s">
        <v>65</v>
      </c>
      <c r="E2" s="5" t="s">
        <v>71</v>
      </c>
      <c r="F2" s="5" t="s">
        <v>76</v>
      </c>
      <c r="G2" s="5" t="s">
        <v>81</v>
      </c>
      <c r="H2" s="5" t="s">
        <v>86</v>
      </c>
      <c r="I2" s="5" t="s">
        <v>91</v>
      </c>
      <c r="J2" s="5" t="s">
        <v>97</v>
      </c>
    </row>
    <row r="3" spans="1:17" x14ac:dyDescent="0.35">
      <c r="A3" s="4">
        <v>1</v>
      </c>
      <c r="B3" s="4" t="s">
        <v>104</v>
      </c>
      <c r="C3" s="4">
        <v>3</v>
      </c>
      <c r="D3" s="4">
        <v>23</v>
      </c>
      <c r="E3" s="4">
        <v>17.5</v>
      </c>
      <c r="F3" s="4">
        <v>6.6</v>
      </c>
      <c r="G3" s="4">
        <v>4.99</v>
      </c>
      <c r="H3" s="4">
        <v>111</v>
      </c>
      <c r="I3" s="4">
        <v>5</v>
      </c>
      <c r="J3" s="4">
        <v>82</v>
      </c>
      <c r="L3" s="19" t="s">
        <v>109</v>
      </c>
      <c r="M3" s="16"/>
      <c r="N3" s="16"/>
      <c r="O3" s="16"/>
      <c r="P3" s="16"/>
      <c r="Q3" s="16"/>
    </row>
    <row r="4" spans="1:17" x14ac:dyDescent="0.35">
      <c r="A4" s="4">
        <v>2</v>
      </c>
      <c r="B4" s="4" t="s">
        <v>106</v>
      </c>
      <c r="C4" s="4">
        <v>5</v>
      </c>
      <c r="D4" s="4">
        <v>24</v>
      </c>
      <c r="E4" s="4">
        <v>9.1</v>
      </c>
      <c r="F4" s="4">
        <v>7.1</v>
      </c>
      <c r="G4" s="4">
        <v>4.5999999999999996</v>
      </c>
      <c r="H4" s="4">
        <v>135</v>
      </c>
      <c r="I4" s="4">
        <v>4</v>
      </c>
      <c r="J4" s="4">
        <v>97.4</v>
      </c>
      <c r="L4" s="17" t="s">
        <v>110</v>
      </c>
      <c r="M4" s="16"/>
      <c r="N4" s="16"/>
      <c r="O4" s="16"/>
      <c r="P4" s="16"/>
      <c r="Q4" s="16"/>
    </row>
    <row r="5" spans="1:17" x14ac:dyDescent="0.35">
      <c r="A5" s="4">
        <v>3</v>
      </c>
      <c r="B5" s="4" t="s">
        <v>104</v>
      </c>
      <c r="C5" s="4">
        <v>6</v>
      </c>
      <c r="D5" s="4">
        <v>25</v>
      </c>
      <c r="E5" s="4">
        <v>10.8</v>
      </c>
      <c r="F5" s="4">
        <v>6.4</v>
      </c>
      <c r="G5" s="4">
        <v>3.68</v>
      </c>
      <c r="H5" s="4">
        <v>150</v>
      </c>
      <c r="I5" s="4">
        <v>3</v>
      </c>
      <c r="J5" s="4">
        <v>98.8</v>
      </c>
      <c r="L5" s="17" t="s">
        <v>111</v>
      </c>
      <c r="M5" s="16"/>
      <c r="N5" s="16"/>
      <c r="O5" s="16"/>
      <c r="P5" s="16"/>
      <c r="Q5" s="16"/>
    </row>
    <row r="6" spans="1:17" x14ac:dyDescent="0.35">
      <c r="A6" s="4">
        <v>4</v>
      </c>
      <c r="B6" s="4" t="s">
        <v>104</v>
      </c>
      <c r="C6" s="4">
        <v>6</v>
      </c>
      <c r="D6" s="4">
        <v>25</v>
      </c>
      <c r="E6" s="4">
        <v>2</v>
      </c>
      <c r="F6" s="4">
        <v>8.1</v>
      </c>
      <c r="G6" s="4">
        <v>4.13</v>
      </c>
      <c r="H6" s="4">
        <v>116</v>
      </c>
      <c r="I6" s="4">
        <v>5</v>
      </c>
      <c r="J6" s="4">
        <v>92.3</v>
      </c>
      <c r="L6" s="17" t="s">
        <v>112</v>
      </c>
      <c r="M6" s="16"/>
      <c r="N6" s="16"/>
      <c r="O6" s="16"/>
      <c r="P6" s="16"/>
      <c r="Q6" s="16"/>
    </row>
    <row r="7" spans="1:17" x14ac:dyDescent="0.35">
      <c r="A7" s="4">
        <v>5</v>
      </c>
      <c r="B7" s="4" t="s">
        <v>106</v>
      </c>
      <c r="C7" s="4">
        <v>1</v>
      </c>
      <c r="D7" s="4">
        <v>20</v>
      </c>
      <c r="E7" s="4">
        <v>9.3000000000000007</v>
      </c>
      <c r="F7" s="4">
        <v>7.8</v>
      </c>
      <c r="G7" s="4">
        <v>3.01</v>
      </c>
      <c r="H7" s="4">
        <v>127</v>
      </c>
      <c r="I7" s="4">
        <v>4</v>
      </c>
      <c r="J7" s="4">
        <v>93.7</v>
      </c>
      <c r="L7" s="17" t="s">
        <v>113</v>
      </c>
      <c r="M7" s="16"/>
      <c r="N7" s="16"/>
      <c r="O7" s="16"/>
      <c r="P7" s="16"/>
      <c r="Q7" s="16"/>
    </row>
    <row r="8" spans="1:17" x14ac:dyDescent="0.35">
      <c r="A8" s="4">
        <v>6</v>
      </c>
      <c r="B8" s="4" t="s">
        <v>106</v>
      </c>
      <c r="C8" s="4">
        <v>4</v>
      </c>
      <c r="D8" s="4">
        <v>24</v>
      </c>
      <c r="E8" s="4">
        <v>8.9</v>
      </c>
      <c r="F8" s="4">
        <v>6.9</v>
      </c>
      <c r="G8" s="4">
        <v>4.38</v>
      </c>
      <c r="H8" s="4">
        <v>130</v>
      </c>
      <c r="I8" s="4">
        <v>5</v>
      </c>
      <c r="J8" s="4">
        <v>83.9</v>
      </c>
      <c r="L8" s="17" t="s">
        <v>114</v>
      </c>
      <c r="M8" s="16"/>
      <c r="N8" s="16"/>
      <c r="O8" s="16"/>
      <c r="P8" s="16"/>
      <c r="Q8" s="16"/>
    </row>
    <row r="9" spans="1:17" x14ac:dyDescent="0.35">
      <c r="A9" s="4">
        <v>7</v>
      </c>
      <c r="B9" s="4" t="s">
        <v>104</v>
      </c>
      <c r="C9" s="4">
        <v>5</v>
      </c>
      <c r="D9" s="4">
        <v>23</v>
      </c>
      <c r="E9" s="4">
        <v>12.7</v>
      </c>
      <c r="F9" s="4">
        <v>5.2</v>
      </c>
      <c r="G9" s="4">
        <v>4.47</v>
      </c>
      <c r="H9" s="4">
        <v>115</v>
      </c>
      <c r="I9" s="4">
        <v>1</v>
      </c>
      <c r="J9" s="4">
        <v>86.3</v>
      </c>
      <c r="L9" s="17" t="s">
        <v>115</v>
      </c>
      <c r="M9" s="16"/>
      <c r="N9" s="16"/>
      <c r="O9" s="16"/>
      <c r="P9" s="16"/>
      <c r="Q9" s="16"/>
    </row>
    <row r="10" spans="1:17" x14ac:dyDescent="0.35">
      <c r="A10" s="4">
        <v>8</v>
      </c>
      <c r="B10" s="4" t="s">
        <v>104</v>
      </c>
      <c r="C10" s="4">
        <v>4</v>
      </c>
      <c r="D10" s="4">
        <v>22</v>
      </c>
      <c r="F10" s="4">
        <v>7.3</v>
      </c>
      <c r="G10" s="4">
        <v>3.43</v>
      </c>
      <c r="H10" s="4">
        <v>113</v>
      </c>
      <c r="I10" s="4">
        <v>5</v>
      </c>
      <c r="J10" s="4">
        <v>76.599999999999994</v>
      </c>
    </row>
    <row r="11" spans="1:17" x14ac:dyDescent="0.35">
      <c r="A11" s="4">
        <v>9</v>
      </c>
      <c r="B11" s="4" t="s">
        <v>106</v>
      </c>
      <c r="C11" s="4">
        <v>5</v>
      </c>
      <c r="D11" s="4">
        <v>24</v>
      </c>
      <c r="E11" s="4">
        <v>10.3</v>
      </c>
      <c r="F11" s="4">
        <v>6.2</v>
      </c>
      <c r="G11" s="4">
        <v>3.94</v>
      </c>
      <c r="H11" s="4">
        <v>105</v>
      </c>
      <c r="I11" s="4">
        <v>4</v>
      </c>
      <c r="J11" s="4">
        <v>90.7</v>
      </c>
    </row>
    <row r="12" spans="1:17" x14ac:dyDescent="0.35">
      <c r="A12" s="4">
        <v>10</v>
      </c>
      <c r="B12" s="4" t="s">
        <v>104</v>
      </c>
      <c r="C12" s="4">
        <v>3</v>
      </c>
      <c r="D12" s="4">
        <v>22</v>
      </c>
      <c r="E12" s="4">
        <v>8.1999999999999993</v>
      </c>
      <c r="F12" s="4">
        <v>7.6</v>
      </c>
      <c r="G12" s="4">
        <v>3.72</v>
      </c>
      <c r="H12" s="4">
        <v>141</v>
      </c>
      <c r="I12" s="4">
        <v>5</v>
      </c>
      <c r="J12" s="4">
        <v>74.3</v>
      </c>
      <c r="L12" s="19" t="s">
        <v>116</v>
      </c>
      <c r="M12" s="16"/>
      <c r="N12" s="16"/>
      <c r="O12" s="16"/>
      <c r="P12" s="16"/>
      <c r="Q12" s="16"/>
    </row>
    <row r="13" spans="1:17" x14ac:dyDescent="0.35">
      <c r="A13" s="4">
        <v>11</v>
      </c>
      <c r="B13" s="4" t="s">
        <v>106</v>
      </c>
      <c r="C13" s="4">
        <v>3</v>
      </c>
      <c r="D13" s="4">
        <v>21</v>
      </c>
      <c r="E13" s="4">
        <v>11.7</v>
      </c>
      <c r="F13" s="4">
        <v>8.1999999999999993</v>
      </c>
      <c r="G13" s="4">
        <v>2.4900000000000002</v>
      </c>
      <c r="H13" s="4">
        <v>116</v>
      </c>
      <c r="I13" s="4">
        <v>4</v>
      </c>
      <c r="J13" s="4">
        <v>71.7</v>
      </c>
      <c r="L13" s="17" t="s">
        <v>117</v>
      </c>
      <c r="M13" s="16"/>
      <c r="N13" s="16"/>
      <c r="O13" s="16"/>
      <c r="P13" s="16"/>
      <c r="Q13" s="16"/>
    </row>
    <row r="14" spans="1:17" x14ac:dyDescent="0.35">
      <c r="A14" s="4">
        <v>12</v>
      </c>
      <c r="B14" s="4" t="s">
        <v>106</v>
      </c>
      <c r="C14" s="4">
        <v>3</v>
      </c>
      <c r="D14" s="4">
        <v>22</v>
      </c>
      <c r="E14" s="4">
        <v>8.9</v>
      </c>
      <c r="F14" s="4">
        <v>7.4</v>
      </c>
      <c r="G14" s="4">
        <v>3.55</v>
      </c>
      <c r="H14" s="4">
        <v>110</v>
      </c>
      <c r="I14" s="4">
        <v>5</v>
      </c>
      <c r="J14" s="4">
        <v>75</v>
      </c>
      <c r="L14" s="17" t="s">
        <v>118</v>
      </c>
      <c r="M14" s="16"/>
      <c r="N14" s="16"/>
      <c r="O14" s="16"/>
      <c r="P14" s="16"/>
      <c r="Q14" s="16"/>
    </row>
    <row r="15" spans="1:17" x14ac:dyDescent="0.35">
      <c r="A15" s="4">
        <v>13</v>
      </c>
      <c r="B15" s="4" t="s">
        <v>106</v>
      </c>
      <c r="C15" s="4">
        <v>4</v>
      </c>
      <c r="D15" s="4">
        <v>22</v>
      </c>
      <c r="E15" s="4">
        <v>19.5</v>
      </c>
      <c r="F15" s="4">
        <v>6.6</v>
      </c>
      <c r="G15" s="4">
        <v>3.47</v>
      </c>
      <c r="H15" s="4">
        <v>119</v>
      </c>
      <c r="I15" s="4">
        <v>3</v>
      </c>
      <c r="J15" s="4">
        <v>94.3</v>
      </c>
      <c r="L15" s="17" t="s">
        <v>119</v>
      </c>
      <c r="M15" s="16"/>
      <c r="N15" s="16"/>
      <c r="O15" s="16"/>
      <c r="P15" s="16"/>
      <c r="Q15" s="16"/>
    </row>
    <row r="16" spans="1:17" x14ac:dyDescent="0.35">
      <c r="A16" s="4">
        <v>14</v>
      </c>
      <c r="B16" s="4" t="s">
        <v>104</v>
      </c>
      <c r="C16" s="4">
        <v>6</v>
      </c>
      <c r="D16" s="4">
        <v>25</v>
      </c>
      <c r="E16" s="4">
        <v>9.8000000000000007</v>
      </c>
      <c r="F16" s="4">
        <v>8.4</v>
      </c>
      <c r="G16" s="4">
        <v>4.8499999999999996</v>
      </c>
      <c r="H16" s="4">
        <v>129</v>
      </c>
      <c r="I16" s="4">
        <v>5</v>
      </c>
      <c r="J16" s="4">
        <v>92.8</v>
      </c>
      <c r="L16" s="17" t="s">
        <v>120</v>
      </c>
      <c r="M16" s="16"/>
      <c r="N16" s="16"/>
      <c r="O16" s="16"/>
      <c r="P16" s="16"/>
      <c r="Q16" s="16"/>
    </row>
    <row r="17" spans="1:17" x14ac:dyDescent="0.35">
      <c r="A17" s="4">
        <v>15</v>
      </c>
      <c r="B17" s="4" t="s">
        <v>104</v>
      </c>
      <c r="C17" s="4">
        <v>5</v>
      </c>
      <c r="D17" s="4">
        <v>23</v>
      </c>
      <c r="E17" s="4">
        <v>12.1</v>
      </c>
      <c r="F17" s="4">
        <v>8.4</v>
      </c>
      <c r="G17" s="4">
        <v>3.72</v>
      </c>
      <c r="H17" s="4">
        <v>90</v>
      </c>
      <c r="I17" s="4">
        <v>3</v>
      </c>
      <c r="J17" s="4">
        <v>91.9</v>
      </c>
      <c r="L17" s="17" t="s">
        <v>121</v>
      </c>
      <c r="M17" s="16"/>
      <c r="N17" s="16"/>
      <c r="O17" s="16"/>
      <c r="P17" s="16"/>
      <c r="Q17" s="16"/>
    </row>
    <row r="18" spans="1:17" x14ac:dyDescent="0.35">
      <c r="A18" s="4">
        <v>16</v>
      </c>
      <c r="B18" s="4" t="s">
        <v>106</v>
      </c>
      <c r="C18" s="4">
        <v>6</v>
      </c>
      <c r="D18" s="4">
        <v>24</v>
      </c>
      <c r="E18" s="4">
        <v>14.9</v>
      </c>
      <c r="F18" s="4">
        <v>5.9</v>
      </c>
      <c r="G18" s="4">
        <v>3.49</v>
      </c>
      <c r="H18" s="4">
        <v>129</v>
      </c>
      <c r="I18" s="4">
        <v>5</v>
      </c>
      <c r="J18" s="4">
        <v>95.9</v>
      </c>
      <c r="L18" s="17" t="s">
        <v>122</v>
      </c>
      <c r="M18" s="16"/>
      <c r="N18" s="16"/>
      <c r="O18" s="16"/>
      <c r="P18" s="16"/>
      <c r="Q18" s="16"/>
    </row>
    <row r="19" spans="1:17" x14ac:dyDescent="0.35">
      <c r="A19" s="4">
        <v>17</v>
      </c>
      <c r="B19" s="4" t="s">
        <v>106</v>
      </c>
      <c r="C19" s="4">
        <v>1</v>
      </c>
      <c r="D19" s="4">
        <v>20</v>
      </c>
      <c r="E19" s="4">
        <v>7.4</v>
      </c>
      <c r="F19" s="4">
        <v>5</v>
      </c>
      <c r="G19" s="4">
        <v>4</v>
      </c>
      <c r="H19" s="4">
        <v>92</v>
      </c>
      <c r="I19" s="4">
        <v>3</v>
      </c>
      <c r="J19" s="4">
        <v>80</v>
      </c>
      <c r="L19" s="17" t="s">
        <v>123</v>
      </c>
      <c r="M19" s="16"/>
      <c r="N19" s="16"/>
      <c r="O19" s="16"/>
      <c r="P19" s="16"/>
      <c r="Q19" s="16"/>
    </row>
    <row r="20" spans="1:17" x14ac:dyDescent="0.35">
      <c r="A20" s="4">
        <v>18</v>
      </c>
      <c r="B20" s="4" t="s">
        <v>104</v>
      </c>
      <c r="C20" s="4">
        <v>5</v>
      </c>
      <c r="D20" s="4">
        <v>23</v>
      </c>
      <c r="E20" s="4">
        <v>11.8</v>
      </c>
      <c r="F20" s="4">
        <v>5.2</v>
      </c>
      <c r="G20" s="4">
        <v>4.8499999999999996</v>
      </c>
      <c r="H20" s="4">
        <v>114</v>
      </c>
      <c r="I20" s="4">
        <v>3</v>
      </c>
      <c r="J20" s="4">
        <v>90</v>
      </c>
    </row>
    <row r="21" spans="1:17" x14ac:dyDescent="0.35">
      <c r="A21" s="4">
        <v>19</v>
      </c>
      <c r="B21" s="4" t="s">
        <v>106</v>
      </c>
      <c r="C21" s="4">
        <v>1</v>
      </c>
      <c r="D21" s="4">
        <v>19</v>
      </c>
      <c r="E21" s="4">
        <v>8.4</v>
      </c>
      <c r="F21" s="4">
        <v>6.9</v>
      </c>
      <c r="G21" s="4">
        <v>3.51</v>
      </c>
      <c r="H21" s="4">
        <v>128</v>
      </c>
      <c r="I21" s="4">
        <v>1</v>
      </c>
      <c r="J21" s="4">
        <v>79</v>
      </c>
    </row>
    <row r="22" spans="1:17" x14ac:dyDescent="0.35">
      <c r="A22" s="4">
        <v>20</v>
      </c>
      <c r="B22" s="4" t="s">
        <v>104</v>
      </c>
      <c r="C22" s="4">
        <v>2</v>
      </c>
      <c r="D22" s="4">
        <v>22</v>
      </c>
      <c r="E22" s="4">
        <v>12.1</v>
      </c>
      <c r="F22" s="4">
        <v>5.9</v>
      </c>
      <c r="G22" s="4">
        <v>3.61</v>
      </c>
      <c r="H22" s="4">
        <v>110</v>
      </c>
      <c r="I22" s="4">
        <v>1</v>
      </c>
      <c r="J22" s="4">
        <v>97.2</v>
      </c>
    </row>
    <row r="23" spans="1:17" x14ac:dyDescent="0.35">
      <c r="A23" s="4">
        <v>21</v>
      </c>
      <c r="B23" s="4" t="s">
        <v>106</v>
      </c>
      <c r="C23" s="4">
        <v>1</v>
      </c>
      <c r="D23" s="4">
        <v>19</v>
      </c>
      <c r="E23" s="4">
        <v>10.5</v>
      </c>
      <c r="F23" s="4">
        <v>6.5</v>
      </c>
      <c r="G23" s="4">
        <v>2.8</v>
      </c>
      <c r="H23" s="4">
        <v>96</v>
      </c>
      <c r="I23" s="4">
        <v>1</v>
      </c>
      <c r="J23" s="4">
        <v>75.2</v>
      </c>
    </row>
    <row r="24" spans="1:17" x14ac:dyDescent="0.35">
      <c r="A24" s="4">
        <v>22</v>
      </c>
      <c r="B24" s="4" t="s">
        <v>104</v>
      </c>
      <c r="C24" s="4">
        <v>4</v>
      </c>
      <c r="D24" s="4">
        <v>22</v>
      </c>
      <c r="E24" s="4">
        <v>14</v>
      </c>
      <c r="F24" s="4">
        <v>7.8</v>
      </c>
      <c r="G24" s="4">
        <v>4.28</v>
      </c>
      <c r="H24" s="4">
        <v>148</v>
      </c>
      <c r="I24" s="4">
        <v>2</v>
      </c>
      <c r="J24" s="4">
        <v>78.599999999999994</v>
      </c>
    </row>
    <row r="25" spans="1:17" x14ac:dyDescent="0.35">
      <c r="A25" s="4">
        <v>23</v>
      </c>
      <c r="B25" s="4" t="s">
        <v>104</v>
      </c>
      <c r="C25" s="4">
        <v>6</v>
      </c>
      <c r="D25" s="4">
        <v>24</v>
      </c>
      <c r="E25" s="4">
        <v>8.8000000000000007</v>
      </c>
      <c r="F25" s="4">
        <v>7.7</v>
      </c>
      <c r="G25" s="4">
        <v>3.47</v>
      </c>
      <c r="H25" s="4">
        <v>120</v>
      </c>
      <c r="I25" s="4">
        <v>3</v>
      </c>
      <c r="J25" s="4">
        <v>89.9</v>
      </c>
    </row>
    <row r="26" spans="1:17" x14ac:dyDescent="0.35">
      <c r="A26" s="4">
        <v>24</v>
      </c>
      <c r="B26" s="4" t="s">
        <v>106</v>
      </c>
      <c r="C26" s="4">
        <v>4</v>
      </c>
      <c r="D26" s="4">
        <v>23</v>
      </c>
      <c r="E26" s="4">
        <v>14.3</v>
      </c>
      <c r="F26" s="4">
        <v>6.9</v>
      </c>
      <c r="G26" s="4">
        <v>4.09</v>
      </c>
      <c r="H26" s="4">
        <v>105</v>
      </c>
      <c r="I26" s="4">
        <v>5</v>
      </c>
      <c r="J26" s="4">
        <v>86.9</v>
      </c>
    </row>
    <row r="27" spans="1:17" x14ac:dyDescent="0.35">
      <c r="A27" s="4">
        <v>25</v>
      </c>
      <c r="B27" s="4" t="s">
        <v>106</v>
      </c>
      <c r="C27" s="4">
        <v>1</v>
      </c>
      <c r="D27" s="4">
        <v>19</v>
      </c>
      <c r="E27" s="4">
        <v>13.2</v>
      </c>
      <c r="F27" s="4">
        <v>9.5</v>
      </c>
      <c r="G27" s="4">
        <v>4.38</v>
      </c>
      <c r="H27" s="4">
        <v>106</v>
      </c>
      <c r="I27" s="4">
        <v>4</v>
      </c>
      <c r="J27" s="4">
        <v>73.5</v>
      </c>
    </row>
    <row r="28" spans="1:17" x14ac:dyDescent="0.35">
      <c r="A28" s="4">
        <v>26</v>
      </c>
      <c r="B28" s="4" t="s">
        <v>104</v>
      </c>
      <c r="C28" s="4">
        <v>1</v>
      </c>
      <c r="D28" s="4">
        <v>20</v>
      </c>
      <c r="E28" s="4">
        <v>9.9</v>
      </c>
      <c r="F28" s="4">
        <v>7.5</v>
      </c>
      <c r="G28" s="4">
        <v>3.2</v>
      </c>
      <c r="H28" s="4">
        <v>110</v>
      </c>
      <c r="I28" s="4">
        <v>2</v>
      </c>
      <c r="J28" s="4">
        <v>74.900000000000006</v>
      </c>
    </row>
    <row r="29" spans="1:17" x14ac:dyDescent="0.35">
      <c r="A29" s="4">
        <v>27</v>
      </c>
      <c r="B29" s="4" t="s">
        <v>104</v>
      </c>
      <c r="C29" s="4">
        <v>5</v>
      </c>
      <c r="D29" s="4">
        <v>24</v>
      </c>
      <c r="E29" s="4">
        <v>7.1</v>
      </c>
      <c r="F29" s="4">
        <v>6.6</v>
      </c>
      <c r="G29" s="4">
        <v>3.82</v>
      </c>
      <c r="H29" s="4">
        <v>128</v>
      </c>
      <c r="I29" s="4">
        <v>3</v>
      </c>
      <c r="J29" s="4">
        <v>86</v>
      </c>
    </row>
    <row r="30" spans="1:17" x14ac:dyDescent="0.35">
      <c r="A30" s="4">
        <v>28</v>
      </c>
      <c r="B30" s="4" t="s">
        <v>106</v>
      </c>
      <c r="C30" s="4">
        <v>1</v>
      </c>
      <c r="D30" s="4">
        <v>20</v>
      </c>
      <c r="E30" s="4">
        <v>10.1</v>
      </c>
      <c r="F30" s="4">
        <v>7.7</v>
      </c>
      <c r="G30" s="4">
        <v>4.57</v>
      </c>
      <c r="H30" s="4">
        <v>119</v>
      </c>
      <c r="I30" s="4">
        <v>2</v>
      </c>
      <c r="J30" s="4">
        <v>75.2</v>
      </c>
    </row>
    <row r="31" spans="1:17" x14ac:dyDescent="0.35">
      <c r="A31" s="4">
        <v>29</v>
      </c>
      <c r="B31" s="4" t="s">
        <v>104</v>
      </c>
      <c r="C31" s="4">
        <v>5</v>
      </c>
      <c r="D31" s="4">
        <v>24</v>
      </c>
      <c r="E31" s="4">
        <v>10.7</v>
      </c>
      <c r="F31" s="4">
        <v>8.9</v>
      </c>
      <c r="G31" s="4">
        <v>3.56</v>
      </c>
      <c r="H31" s="4">
        <v>128</v>
      </c>
      <c r="I31" s="4">
        <v>3</v>
      </c>
      <c r="J31" s="4">
        <v>87.9</v>
      </c>
    </row>
    <row r="32" spans="1:17" x14ac:dyDescent="0.35">
      <c r="A32" s="4">
        <v>30</v>
      </c>
      <c r="B32" s="4" t="s">
        <v>106</v>
      </c>
      <c r="C32" s="4">
        <v>4</v>
      </c>
      <c r="D32" s="4">
        <v>22</v>
      </c>
      <c r="E32" s="4">
        <v>12.7</v>
      </c>
      <c r="F32" s="4">
        <v>7.7</v>
      </c>
      <c r="G32" s="4">
        <v>3.87</v>
      </c>
      <c r="H32" s="4">
        <v>116</v>
      </c>
      <c r="I32" s="4">
        <v>5</v>
      </c>
      <c r="J32" s="4">
        <v>91.3</v>
      </c>
    </row>
    <row r="33" spans="1:10" x14ac:dyDescent="0.35">
      <c r="A33" s="4">
        <v>31</v>
      </c>
      <c r="B33" s="4" t="s">
        <v>106</v>
      </c>
      <c r="C33" s="4">
        <v>3</v>
      </c>
      <c r="D33" s="4">
        <v>22</v>
      </c>
      <c r="E33" s="4">
        <v>7.4</v>
      </c>
      <c r="F33" s="4">
        <v>6.1</v>
      </c>
      <c r="G33" s="4">
        <v>2.59</v>
      </c>
      <c r="H33" s="4">
        <v>100</v>
      </c>
      <c r="I33" s="4">
        <v>3</v>
      </c>
      <c r="J33" s="4">
        <v>79.599999999999994</v>
      </c>
    </row>
    <row r="34" spans="1:10" x14ac:dyDescent="0.35">
      <c r="A34" s="4">
        <v>32</v>
      </c>
      <c r="B34" s="4" t="s">
        <v>106</v>
      </c>
      <c r="C34" s="4">
        <v>6</v>
      </c>
      <c r="D34" s="4">
        <v>24</v>
      </c>
      <c r="E34" s="4">
        <v>8.6</v>
      </c>
      <c r="F34" s="4">
        <v>6.2</v>
      </c>
      <c r="G34" s="4">
        <v>2.5099999999999998</v>
      </c>
      <c r="H34" s="4">
        <v>107</v>
      </c>
      <c r="I34" s="4">
        <v>4</v>
      </c>
      <c r="J34" s="4">
        <v>71.5</v>
      </c>
    </row>
    <row r="35" spans="1:10" x14ac:dyDescent="0.35">
      <c r="A35" s="4">
        <v>33</v>
      </c>
      <c r="B35" s="4" t="s">
        <v>106</v>
      </c>
      <c r="C35" s="4">
        <v>3</v>
      </c>
      <c r="D35" s="4">
        <v>21</v>
      </c>
      <c r="E35" s="4">
        <v>11.6</v>
      </c>
      <c r="F35" s="4">
        <v>5.9</v>
      </c>
      <c r="G35" s="4">
        <v>4.6900000000000004</v>
      </c>
      <c r="H35" s="4">
        <v>121</v>
      </c>
      <c r="I35" s="4">
        <v>3</v>
      </c>
      <c r="J35" s="4">
        <v>86</v>
      </c>
    </row>
    <row r="36" spans="1:10" x14ac:dyDescent="0.35">
      <c r="A36" s="4">
        <v>34</v>
      </c>
      <c r="B36" s="4" t="s">
        <v>104</v>
      </c>
      <c r="C36" s="4">
        <v>3</v>
      </c>
      <c r="D36" s="4">
        <v>22</v>
      </c>
      <c r="E36" s="4">
        <v>5.2</v>
      </c>
      <c r="F36" s="4">
        <v>6.1</v>
      </c>
      <c r="G36" s="4">
        <v>4.97</v>
      </c>
      <c r="H36" s="4">
        <v>107</v>
      </c>
      <c r="I36" s="4">
        <v>5</v>
      </c>
      <c r="J36" s="4">
        <v>86.1</v>
      </c>
    </row>
    <row r="37" spans="1:10" x14ac:dyDescent="0.35">
      <c r="A37" s="4">
        <v>35</v>
      </c>
      <c r="B37" s="4" t="s">
        <v>104</v>
      </c>
      <c r="C37" s="4">
        <v>6</v>
      </c>
      <c r="D37" s="4">
        <v>24</v>
      </c>
      <c r="E37" s="4">
        <v>13.1</v>
      </c>
      <c r="F37" s="4">
        <v>7.4</v>
      </c>
      <c r="G37" s="4">
        <v>5</v>
      </c>
      <c r="H37" s="4">
        <v>121</v>
      </c>
      <c r="I37" s="4">
        <v>5</v>
      </c>
      <c r="J37" s="4">
        <v>81</v>
      </c>
    </row>
    <row r="38" spans="1:10" x14ac:dyDescent="0.35">
      <c r="A38" s="4">
        <v>36</v>
      </c>
      <c r="B38" s="4" t="s">
        <v>104</v>
      </c>
      <c r="C38" s="4">
        <v>4</v>
      </c>
      <c r="D38" s="4">
        <v>24</v>
      </c>
      <c r="E38" s="4">
        <v>7.3</v>
      </c>
      <c r="F38" s="4">
        <v>7.7</v>
      </c>
      <c r="G38" s="4">
        <v>4.18</v>
      </c>
      <c r="H38" s="4">
        <v>103</v>
      </c>
      <c r="I38" s="4">
        <v>2</v>
      </c>
      <c r="J38" s="4">
        <v>97.7</v>
      </c>
    </row>
    <row r="39" spans="1:10" x14ac:dyDescent="0.35">
      <c r="A39" s="4">
        <v>37</v>
      </c>
      <c r="B39" s="4" t="s">
        <v>104</v>
      </c>
      <c r="C39" s="4">
        <v>2</v>
      </c>
      <c r="D39" s="4">
        <v>22</v>
      </c>
      <c r="E39" s="4">
        <v>18.3</v>
      </c>
      <c r="F39" s="4">
        <v>7.3</v>
      </c>
      <c r="G39" s="4">
        <v>2.9</v>
      </c>
      <c r="H39" s="4">
        <v>114</v>
      </c>
      <c r="I39" s="4">
        <v>3</v>
      </c>
      <c r="J39" s="4">
        <v>89.3</v>
      </c>
    </row>
    <row r="40" spans="1:10" x14ac:dyDescent="0.35">
      <c r="A40" s="4">
        <v>38</v>
      </c>
      <c r="B40" s="4" t="s">
        <v>104</v>
      </c>
      <c r="C40" s="4">
        <v>3</v>
      </c>
      <c r="D40" s="4">
        <v>23</v>
      </c>
      <c r="E40" s="4">
        <v>9.1999999999999993</v>
      </c>
      <c r="F40" s="4">
        <v>6.2</v>
      </c>
      <c r="G40" s="4">
        <v>3.77</v>
      </c>
      <c r="H40" s="4">
        <v>107</v>
      </c>
      <c r="I40" s="4">
        <v>5</v>
      </c>
      <c r="J40" s="4">
        <v>100</v>
      </c>
    </row>
    <row r="41" spans="1:10" x14ac:dyDescent="0.35">
      <c r="A41" s="4">
        <v>39</v>
      </c>
      <c r="B41" s="4" t="s">
        <v>104</v>
      </c>
      <c r="C41" s="4">
        <v>2</v>
      </c>
      <c r="D41" s="4">
        <v>22</v>
      </c>
      <c r="E41" s="4">
        <v>19.8</v>
      </c>
      <c r="F41" s="4">
        <v>7.5</v>
      </c>
      <c r="G41" s="4">
        <v>4.24</v>
      </c>
      <c r="H41" s="4">
        <v>98</v>
      </c>
      <c r="I41" s="4">
        <v>3</v>
      </c>
      <c r="J41" s="4">
        <v>79</v>
      </c>
    </row>
    <row r="42" spans="1:10" x14ac:dyDescent="0.35">
      <c r="A42" s="4">
        <v>40</v>
      </c>
      <c r="B42" s="4" t="s">
        <v>106</v>
      </c>
      <c r="C42" s="4">
        <v>1</v>
      </c>
      <c r="D42" s="4">
        <v>19</v>
      </c>
      <c r="E42" s="4">
        <v>7</v>
      </c>
      <c r="F42" s="4">
        <v>6.5</v>
      </c>
      <c r="G42" s="4">
        <v>3.35</v>
      </c>
      <c r="H42" s="4">
        <v>126</v>
      </c>
      <c r="I42" s="4">
        <v>5</v>
      </c>
      <c r="J42" s="4">
        <v>90</v>
      </c>
    </row>
    <row r="43" spans="1:10" x14ac:dyDescent="0.35">
      <c r="A43" s="4">
        <v>41</v>
      </c>
      <c r="B43" s="4" t="s">
        <v>104</v>
      </c>
      <c r="C43" s="4">
        <v>6</v>
      </c>
      <c r="D43" s="4">
        <v>25</v>
      </c>
      <c r="E43" s="4">
        <v>11</v>
      </c>
      <c r="F43" s="4">
        <v>6.1</v>
      </c>
      <c r="G43" s="4">
        <v>3.91</v>
      </c>
      <c r="H43" s="4">
        <v>103</v>
      </c>
      <c r="I43" s="4">
        <v>3</v>
      </c>
      <c r="J43" s="4">
        <v>85</v>
      </c>
    </row>
    <row r="44" spans="1:10" x14ac:dyDescent="0.35">
      <c r="A44" s="4">
        <v>42</v>
      </c>
      <c r="B44" s="4" t="s">
        <v>106</v>
      </c>
      <c r="C44" s="4">
        <v>4</v>
      </c>
      <c r="D44" s="4">
        <v>23</v>
      </c>
      <c r="E44" s="4">
        <v>14.2</v>
      </c>
      <c r="F44" s="4">
        <v>5.9</v>
      </c>
      <c r="G44" s="4">
        <v>3.48</v>
      </c>
      <c r="H44" s="4">
        <v>122</v>
      </c>
      <c r="I44" s="4">
        <v>2</v>
      </c>
      <c r="J44" s="4">
        <v>77.8</v>
      </c>
    </row>
    <row r="45" spans="1:10" x14ac:dyDescent="0.35">
      <c r="A45" s="4">
        <v>43</v>
      </c>
      <c r="B45" s="4" t="s">
        <v>104</v>
      </c>
      <c r="C45" s="4">
        <v>6</v>
      </c>
      <c r="D45" s="4">
        <v>25</v>
      </c>
      <c r="E45" s="4">
        <v>16.8</v>
      </c>
      <c r="F45" s="4">
        <v>8.6999999999999993</v>
      </c>
      <c r="G45" s="4">
        <v>4.83</v>
      </c>
      <c r="H45" s="4">
        <v>111</v>
      </c>
      <c r="I45" s="4">
        <v>5</v>
      </c>
      <c r="J45" s="4">
        <v>83.8</v>
      </c>
    </row>
    <row r="46" spans="1:10" x14ac:dyDescent="0.35">
      <c r="A46" s="4">
        <v>44</v>
      </c>
      <c r="B46" s="4" t="s">
        <v>104</v>
      </c>
      <c r="C46" s="4">
        <v>1</v>
      </c>
      <c r="D46" s="4">
        <v>20</v>
      </c>
      <c r="E46" s="4">
        <v>5.2</v>
      </c>
      <c r="F46" s="4">
        <v>5.9</v>
      </c>
      <c r="G46" s="4">
        <v>4.46</v>
      </c>
      <c r="H46" s="4">
        <v>131</v>
      </c>
      <c r="I46" s="4">
        <v>1</v>
      </c>
      <c r="J46" s="4">
        <v>98</v>
      </c>
    </row>
    <row r="47" spans="1:10" x14ac:dyDescent="0.35">
      <c r="A47" s="4">
        <v>45</v>
      </c>
      <c r="B47" s="4" t="s">
        <v>104</v>
      </c>
      <c r="C47" s="4">
        <v>6</v>
      </c>
      <c r="D47" s="4">
        <v>25</v>
      </c>
      <c r="E47" s="4">
        <v>11.6</v>
      </c>
      <c r="F47" s="4">
        <v>7.3</v>
      </c>
      <c r="G47" s="4">
        <v>3.07</v>
      </c>
      <c r="H47" s="4">
        <v>127</v>
      </c>
      <c r="I47" s="4">
        <v>5</v>
      </c>
      <c r="J47" s="4">
        <v>92.5</v>
      </c>
    </row>
    <row r="48" spans="1:10" x14ac:dyDescent="0.35">
      <c r="A48" s="4">
        <v>46</v>
      </c>
      <c r="B48" s="4" t="s">
        <v>104</v>
      </c>
      <c r="C48" s="4">
        <v>1</v>
      </c>
      <c r="D48" s="4">
        <v>19</v>
      </c>
      <c r="E48" s="4">
        <v>6.6</v>
      </c>
      <c r="F48" s="4">
        <v>6.9</v>
      </c>
      <c r="G48" s="4">
        <v>3.12</v>
      </c>
      <c r="H48" s="4">
        <v>118</v>
      </c>
      <c r="I48" s="4">
        <v>5</v>
      </c>
      <c r="J48" s="4">
        <v>90.3</v>
      </c>
    </row>
    <row r="49" spans="1:10" x14ac:dyDescent="0.35">
      <c r="A49" s="4">
        <v>47</v>
      </c>
      <c r="B49" s="4" t="s">
        <v>104</v>
      </c>
      <c r="C49" s="4">
        <v>2</v>
      </c>
      <c r="D49" s="4">
        <v>21</v>
      </c>
      <c r="E49" s="4">
        <v>11.1</v>
      </c>
      <c r="F49" s="4">
        <v>7.8</v>
      </c>
      <c r="G49" s="4">
        <v>4.13</v>
      </c>
      <c r="H49" s="4">
        <v>127</v>
      </c>
      <c r="I49" s="4">
        <v>1</v>
      </c>
      <c r="J49" s="4">
        <v>94.6</v>
      </c>
    </row>
    <row r="50" spans="1:10" x14ac:dyDescent="0.35">
      <c r="A50" s="4">
        <v>48</v>
      </c>
      <c r="B50" s="4" t="s">
        <v>106</v>
      </c>
      <c r="C50" s="4">
        <v>3</v>
      </c>
      <c r="D50" s="4">
        <v>23</v>
      </c>
      <c r="E50" s="4">
        <v>7.3</v>
      </c>
      <c r="F50" s="4">
        <v>7.6</v>
      </c>
      <c r="G50" s="4">
        <v>4.3899999999999997</v>
      </c>
      <c r="H50" s="4">
        <v>124</v>
      </c>
      <c r="I50" s="4">
        <v>2</v>
      </c>
      <c r="J50" s="4">
        <v>97</v>
      </c>
    </row>
    <row r="51" spans="1:10" x14ac:dyDescent="0.35">
      <c r="A51" s="4">
        <v>49</v>
      </c>
      <c r="B51" s="4" t="s">
        <v>104</v>
      </c>
      <c r="C51" s="4">
        <v>1</v>
      </c>
      <c r="D51" s="4">
        <v>21</v>
      </c>
      <c r="E51" s="4">
        <v>8.9</v>
      </c>
      <c r="F51" s="4">
        <v>5.6</v>
      </c>
      <c r="G51" s="4">
        <v>3.83</v>
      </c>
      <c r="H51" s="4">
        <v>95</v>
      </c>
      <c r="I51" s="4">
        <v>1</v>
      </c>
      <c r="J51" s="4">
        <v>84.2</v>
      </c>
    </row>
    <row r="52" spans="1:10" x14ac:dyDescent="0.35">
      <c r="A52" s="4">
        <v>50</v>
      </c>
      <c r="B52" s="4" t="s">
        <v>104</v>
      </c>
      <c r="C52" s="4">
        <v>5</v>
      </c>
      <c r="D52" s="4">
        <v>25</v>
      </c>
      <c r="E52" s="4">
        <v>14.1</v>
      </c>
      <c r="F52" s="4">
        <v>7</v>
      </c>
      <c r="G52" s="4">
        <v>4.01</v>
      </c>
      <c r="H52" s="4">
        <v>115</v>
      </c>
      <c r="I52" s="4">
        <v>1</v>
      </c>
      <c r="J52" s="4">
        <v>91.4</v>
      </c>
    </row>
  </sheetData>
  <autoFilter ref="A2:J52" xr:uid="{00000000-0009-0000-0000-000003000000}"/>
  <mergeCells count="16">
    <mergeCell ref="A1:J1"/>
    <mergeCell ref="L7:Q7"/>
    <mergeCell ref="L15:Q15"/>
    <mergeCell ref="L17:Q17"/>
    <mergeCell ref="L5:Q5"/>
    <mergeCell ref="L8:Q8"/>
    <mergeCell ref="L3:Q3"/>
    <mergeCell ref="L4:Q4"/>
    <mergeCell ref="L6:Q6"/>
    <mergeCell ref="L19:Q19"/>
    <mergeCell ref="L18:Q18"/>
    <mergeCell ref="L14:Q14"/>
    <mergeCell ref="L13:Q13"/>
    <mergeCell ref="L9:Q9"/>
    <mergeCell ref="L12:Q12"/>
    <mergeCell ref="L16:Q16"/>
  </mergeCells>
  <dataValidations count="2">
    <dataValidation type="list" allowBlank="1" sqref="I3:I52" xr:uid="{00000000-0002-0000-0300-000000000000}">
      <formula1>"1,2,3,4,5"</formula1>
    </dataValidation>
    <dataValidation type="list" allowBlank="1" sqref="B3:B52" xr:uid="{00000000-0002-0000-0300-000001000000}">
      <formula1>"Male,Female"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6" width="20" customWidth="1"/>
    <col min="7" max="7" width="11" customWidth="1"/>
    <col min="8" max="11" width="20" customWidth="1"/>
    <col min="12" max="12" width="11" customWidth="1"/>
    <col min="13" max="13" width="20" customWidth="1"/>
  </cols>
  <sheetData>
    <row r="1" spans="1:13" x14ac:dyDescent="0.35">
      <c r="A1" s="15" t="s">
        <v>124</v>
      </c>
      <c r="B1" s="16"/>
      <c r="C1" s="16"/>
      <c r="D1" s="16"/>
      <c r="E1" s="16"/>
      <c r="F1" s="16"/>
    </row>
    <row r="2" spans="1:13" x14ac:dyDescent="0.35">
      <c r="A2" s="5" t="s">
        <v>35</v>
      </c>
      <c r="B2" s="5" t="s">
        <v>125</v>
      </c>
      <c r="C2" s="5" t="s">
        <v>126</v>
      </c>
      <c r="D2" s="5" t="s">
        <v>127</v>
      </c>
      <c r="E2" s="5" t="s">
        <v>128</v>
      </c>
      <c r="F2" s="5" t="s">
        <v>129</v>
      </c>
    </row>
    <row r="3" spans="1:13" x14ac:dyDescent="0.35">
      <c r="A3" s="4" t="s">
        <v>65</v>
      </c>
      <c r="B3" s="7">
        <f>AVERAGE(Clean_Data!D3:D52)</f>
        <v>22.4</v>
      </c>
      <c r="C3" s="7">
        <f>MEDIAN(Clean_Data!D3:D52)</f>
        <v>22.5</v>
      </c>
      <c r="D3" s="7" t="str">
        <f ca="1">IFERROR(_xludf.MODE.SNGL(Clean_Data!D3:D52),"No unique mode")</f>
        <v>No unique mode</v>
      </c>
      <c r="E3" s="7">
        <f>MAX(Clean_Data!D3:D52)-MIN(Clean_Data!D3:D52)</f>
        <v>6</v>
      </c>
      <c r="F3" s="7" t="e">
        <f ca="1">_xludf.STDEV.S(Clean_Data!D3:D52)</f>
        <v>#NAME?</v>
      </c>
      <c r="G3" s="8"/>
      <c r="H3" s="19" t="s">
        <v>130</v>
      </c>
      <c r="I3" s="20"/>
      <c r="J3" s="20"/>
      <c r="K3" s="20"/>
      <c r="L3" s="20"/>
      <c r="M3" s="20"/>
    </row>
    <row r="4" spans="1:13" x14ac:dyDescent="0.35">
      <c r="A4" s="4" t="s">
        <v>71</v>
      </c>
      <c r="B4" s="7">
        <f>AVERAGE(Clean_Data!E3:E52)</f>
        <v>10.836734693877556</v>
      </c>
      <c r="C4" s="7">
        <f>MEDIAN(Clean_Data!E3:E52)</f>
        <v>10.5</v>
      </c>
      <c r="D4" s="7" t="str">
        <f ca="1">IFERROR(_xludf.MODE.SNGL(Clean_Data!E3:E52),"No unique mode")</f>
        <v>No unique mode</v>
      </c>
      <c r="E4" s="7">
        <f>MAX(Clean_Data!E3:E52)-MIN(Clean_Data!E3:E52)</f>
        <v>17.8</v>
      </c>
      <c r="F4" s="7" t="e">
        <f ca="1">_xludf.STDEV.S(Clean_Data!E3:E52)</f>
        <v>#NAME?</v>
      </c>
      <c r="G4" s="8"/>
      <c r="H4" s="5" t="s">
        <v>35</v>
      </c>
      <c r="I4" s="9" t="s">
        <v>131</v>
      </c>
      <c r="J4" s="9" t="s">
        <v>132</v>
      </c>
      <c r="K4" s="9" t="s">
        <v>133</v>
      </c>
      <c r="L4" s="9" t="s">
        <v>134</v>
      </c>
      <c r="M4" s="9" t="s">
        <v>135</v>
      </c>
    </row>
    <row r="5" spans="1:13" x14ac:dyDescent="0.35">
      <c r="A5" s="4" t="s">
        <v>76</v>
      </c>
      <c r="B5" s="7">
        <f>AVERAGE(Clean_Data!F3:F52)</f>
        <v>6.9919999999999991</v>
      </c>
      <c r="C5" s="7">
        <f>MEDIAN(Clean_Data!F3:F52)</f>
        <v>6.95</v>
      </c>
      <c r="D5" s="7" t="str">
        <f ca="1">IFERROR(_xludf.MODE.SNGL(Clean_Data!F3:F52),"No unique mode")</f>
        <v>No unique mode</v>
      </c>
      <c r="E5" s="7">
        <f>MAX(Clean_Data!F3:F52)-MIN(Clean_Data!F3:F52)</f>
        <v>4.5</v>
      </c>
      <c r="F5" s="7" t="e">
        <f ca="1">_xludf.STDEV.S(Clean_Data!F3:F52)</f>
        <v>#NAME?</v>
      </c>
      <c r="G5" s="8"/>
      <c r="H5" s="4" t="s">
        <v>65</v>
      </c>
      <c r="I5" s="7" t="e">
        <f ca="1">_xludf.QUARTILE.INC(Clean_Data!D3:D52,1)</f>
        <v>#NAME?</v>
      </c>
      <c r="J5" s="7" t="e">
        <f ca="1">_xludf.QUARTILE.INC(Clean_Data!D3:D52,2)</f>
        <v>#NAME?</v>
      </c>
      <c r="K5" s="7" t="e">
        <f ca="1">_xludf.QUARTILE.INC(Clean_Data!D3:D52,3)</f>
        <v>#NAME?</v>
      </c>
      <c r="L5" s="7" t="e">
        <f t="shared" ref="L5:L11" ca="1" si="0">K5-I5</f>
        <v>#NAME?</v>
      </c>
      <c r="M5" s="7" t="e">
        <f ca="1">_xludf.VAR.S(Clean_Data!D3:D52)</f>
        <v>#NAME?</v>
      </c>
    </row>
    <row r="6" spans="1:13" x14ac:dyDescent="0.35">
      <c r="A6" s="4" t="s">
        <v>81</v>
      </c>
      <c r="B6" s="7">
        <f>AVERAGE(Clean_Data!G3:G52)</f>
        <v>3.8672000000000004</v>
      </c>
      <c r="C6" s="7">
        <f>MEDIAN(Clean_Data!G3:G52)</f>
        <v>3.85</v>
      </c>
      <c r="D6" s="7" t="str">
        <f ca="1">IFERROR(_xludf.MODE.SNGL(Clean_Data!G3:G52),"No unique mode")</f>
        <v>No unique mode</v>
      </c>
      <c r="E6" s="7">
        <f>MAX(Clean_Data!G3:G52)-MIN(Clean_Data!G3:G52)</f>
        <v>2.5099999999999998</v>
      </c>
      <c r="F6" s="7" t="e">
        <f ca="1">_xludf.STDEV.S(Clean_Data!G3:G52)</f>
        <v>#NAME?</v>
      </c>
      <c r="G6" s="8"/>
      <c r="H6" s="4" t="s">
        <v>71</v>
      </c>
      <c r="I6" s="7" t="e">
        <f ca="1">_xludf.QUARTILE.INC(Clean_Data!E3:E52,1)</f>
        <v>#NAME?</v>
      </c>
      <c r="J6" s="7" t="e">
        <f ca="1">_xludf.QUARTILE.INC(Clean_Data!E3:E52,2)</f>
        <v>#NAME?</v>
      </c>
      <c r="K6" s="7" t="e">
        <f ca="1">_xludf.QUARTILE.INC(Clean_Data!E3:E52,3)</f>
        <v>#NAME?</v>
      </c>
      <c r="L6" s="7" t="e">
        <f t="shared" ca="1" si="0"/>
        <v>#NAME?</v>
      </c>
      <c r="M6" s="7" t="e">
        <f ca="1">_xludf.VAR.S(Clean_Data!E3:E52)</f>
        <v>#NAME?</v>
      </c>
    </row>
    <row r="7" spans="1:13" x14ac:dyDescent="0.35">
      <c r="A7" s="4" t="s">
        <v>86</v>
      </c>
      <c r="B7" s="7">
        <f>AVERAGE(Clean_Data!H3:H52)</f>
        <v>116.66</v>
      </c>
      <c r="C7" s="7">
        <f>MEDIAN(Clean_Data!H3:H52)</f>
        <v>116</v>
      </c>
      <c r="D7" s="7" t="str">
        <f ca="1">IFERROR(_xludf.MODE.SNGL(Clean_Data!H3:H52),"No unique mode")</f>
        <v>No unique mode</v>
      </c>
      <c r="E7" s="7">
        <f>MAX(Clean_Data!H3:H52)-MIN(Clean_Data!H3:H52)</f>
        <v>60</v>
      </c>
      <c r="F7" s="7" t="e">
        <f ca="1">_xludf.STDEV.S(Clean_Data!H3:H52)</f>
        <v>#NAME?</v>
      </c>
      <c r="G7" s="8"/>
      <c r="H7" s="4" t="s">
        <v>76</v>
      </c>
      <c r="I7" s="7" t="e">
        <f ca="1">_xludf.QUARTILE.INC(Clean_Data!F3:F52,1)</f>
        <v>#NAME?</v>
      </c>
      <c r="J7" s="7" t="e">
        <f ca="1">_xludf.QUARTILE.INC(Clean_Data!F3:F52,2)</f>
        <v>#NAME?</v>
      </c>
      <c r="K7" s="7" t="e">
        <f ca="1">_xludf.QUARTILE.INC(Clean_Data!F3:F52,3)</f>
        <v>#NAME?</v>
      </c>
      <c r="L7" s="7" t="e">
        <f t="shared" ca="1" si="0"/>
        <v>#NAME?</v>
      </c>
      <c r="M7" s="7" t="e">
        <f ca="1">_xludf.VAR.S(Clean_Data!F3:F52)</f>
        <v>#NAME?</v>
      </c>
    </row>
    <row r="8" spans="1:13" x14ac:dyDescent="0.35">
      <c r="A8" s="4" t="s">
        <v>91</v>
      </c>
      <c r="B8" s="7">
        <f>AVERAGE(Clean_Data!I3:I52)</f>
        <v>3.36</v>
      </c>
      <c r="C8" s="7">
        <f>MEDIAN(Clean_Data!I3:I52)</f>
        <v>3</v>
      </c>
      <c r="D8" s="7" t="str">
        <f ca="1">IFERROR(_xludf.MODE.SNGL(Clean_Data!I3:I52),"No unique mode")</f>
        <v>No unique mode</v>
      </c>
      <c r="E8" s="7">
        <f>MAX(Clean_Data!I3:I52)-MIN(Clean_Data!I3:I52)</f>
        <v>4</v>
      </c>
      <c r="F8" s="7" t="e">
        <f ca="1">_xludf.STDEV.S(Clean_Data!I3:I52)</f>
        <v>#NAME?</v>
      </c>
      <c r="G8" s="8"/>
      <c r="H8" s="4" t="s">
        <v>81</v>
      </c>
      <c r="I8" s="7" t="e">
        <f ca="1">_xludf.QUARTILE.INC(Clean_Data!G3:G52,1)</f>
        <v>#NAME?</v>
      </c>
      <c r="J8" s="7" t="e">
        <f ca="1">_xludf.QUARTILE.INC(Clean_Data!G3:G52,2)</f>
        <v>#NAME?</v>
      </c>
      <c r="K8" s="7" t="e">
        <f ca="1">_xludf.QUARTILE.INC(Clean_Data!G3:G52,3)</f>
        <v>#NAME?</v>
      </c>
      <c r="L8" s="7" t="e">
        <f t="shared" ca="1" si="0"/>
        <v>#NAME?</v>
      </c>
      <c r="M8" s="7" t="e">
        <f ca="1">_xludf.VAR.S(Clean_Data!G3:G52)</f>
        <v>#NAME?</v>
      </c>
    </row>
    <row r="9" spans="1:13" x14ac:dyDescent="0.35">
      <c r="A9" s="4" t="s">
        <v>97</v>
      </c>
      <c r="B9" s="7">
        <f>AVERAGE(Clean_Data!J3:J52)</f>
        <v>86.36</v>
      </c>
      <c r="C9" s="7">
        <f>MEDIAN(Clean_Data!J3:J52)</f>
        <v>86.6</v>
      </c>
      <c r="D9" s="7" t="str">
        <f ca="1">IFERROR(_xludf.MODE.SNGL(Clean_Data!J3:J52),"No unique mode")</f>
        <v>No unique mode</v>
      </c>
      <c r="E9" s="7">
        <f>MAX(Clean_Data!J3:J52)-MIN(Clean_Data!J3:J52)</f>
        <v>28.5</v>
      </c>
      <c r="F9" s="7" t="e">
        <f ca="1">_xludf.STDEV.S(Clean_Data!J3:J52)</f>
        <v>#NAME?</v>
      </c>
      <c r="G9" s="8"/>
      <c r="H9" s="4" t="s">
        <v>86</v>
      </c>
      <c r="I9" s="7" t="e">
        <f ca="1">_xludf.QUARTILE.INC(Clean_Data!H3:H52,1)</f>
        <v>#NAME?</v>
      </c>
      <c r="J9" s="7" t="e">
        <f ca="1">_xludf.QUARTILE.INC(Clean_Data!H3:H52,2)</f>
        <v>#NAME?</v>
      </c>
      <c r="K9" s="7" t="e">
        <f ca="1">_xludf.QUARTILE.INC(Clean_Data!H3:H52,3)</f>
        <v>#NAME?</v>
      </c>
      <c r="L9" s="7" t="e">
        <f t="shared" ca="1" si="0"/>
        <v>#NAME?</v>
      </c>
      <c r="M9" s="7" t="e">
        <f ca="1">_xludf.VAR.S(Clean_Data!H3:H52)</f>
        <v>#NAME?</v>
      </c>
    </row>
    <row r="10" spans="1:13" x14ac:dyDescent="0.35">
      <c r="B10" s="8"/>
      <c r="C10" s="8"/>
      <c r="D10" s="8"/>
      <c r="E10" s="8"/>
      <c r="F10" s="8"/>
      <c r="G10" s="8"/>
      <c r="H10" s="4" t="s">
        <v>91</v>
      </c>
      <c r="I10" s="7" t="e">
        <f ca="1">_xludf.QUARTILE.INC(Clean_Data!I3:I52,1)</f>
        <v>#NAME?</v>
      </c>
      <c r="J10" s="7" t="e">
        <f ca="1">_xludf.QUARTILE.INC(Clean_Data!I3:I52,2)</f>
        <v>#NAME?</v>
      </c>
      <c r="K10" s="7" t="e">
        <f ca="1">_xludf.QUARTILE.INC(Clean_Data!I3:I52,3)</f>
        <v>#NAME?</v>
      </c>
      <c r="L10" s="7" t="e">
        <f t="shared" ca="1" si="0"/>
        <v>#NAME?</v>
      </c>
      <c r="M10" s="7" t="e">
        <f ca="1">_xludf.VAR.S(Clean_Data!I3:I52)</f>
        <v>#NAME?</v>
      </c>
    </row>
    <row r="11" spans="1:13" x14ac:dyDescent="0.35">
      <c r="B11" s="8"/>
      <c r="C11" s="8"/>
      <c r="D11" s="8"/>
      <c r="E11" s="8"/>
      <c r="F11" s="8"/>
      <c r="G11" s="8"/>
      <c r="H11" s="4" t="s">
        <v>97</v>
      </c>
      <c r="I11" s="7" t="e">
        <f ca="1">_xludf.QUARTILE.INC(Clean_Data!J3:J52,1)</f>
        <v>#NAME?</v>
      </c>
      <c r="J11" s="7" t="e">
        <f ca="1">_xludf.QUARTILE.INC(Clean_Data!J3:J52,2)</f>
        <v>#NAME?</v>
      </c>
      <c r="K11" s="7" t="e">
        <f ca="1">_xludf.QUARTILE.INC(Clean_Data!J3:J52,3)</f>
        <v>#NAME?</v>
      </c>
      <c r="L11" s="7" t="e">
        <f t="shared" ca="1" si="0"/>
        <v>#NAME?</v>
      </c>
      <c r="M11" s="7" t="e">
        <f ca="1">_xludf.VAR.S(Clean_Data!J3:J52)</f>
        <v>#NAME?</v>
      </c>
    </row>
    <row r="12" spans="1:13" x14ac:dyDescent="0.35">
      <c r="A12" s="19" t="s">
        <v>136</v>
      </c>
      <c r="B12" s="20"/>
      <c r="C12" s="20"/>
      <c r="D12" s="20"/>
      <c r="E12" s="20"/>
      <c r="F12" s="20"/>
      <c r="G12" s="8"/>
      <c r="I12" s="8"/>
      <c r="J12" s="8"/>
      <c r="K12" s="8"/>
      <c r="L12" s="8"/>
      <c r="M12" s="8"/>
    </row>
    <row r="13" spans="1:13" x14ac:dyDescent="0.35">
      <c r="A13" s="5" t="s">
        <v>35</v>
      </c>
      <c r="B13" s="9" t="s">
        <v>135</v>
      </c>
      <c r="C13" s="9" t="s">
        <v>137</v>
      </c>
      <c r="D13" s="9" t="s">
        <v>129</v>
      </c>
      <c r="E13" s="9" t="s">
        <v>138</v>
      </c>
      <c r="F13" s="9"/>
      <c r="G13" s="10"/>
      <c r="H13" s="11"/>
      <c r="I13" s="10"/>
      <c r="J13" s="10"/>
      <c r="K13" s="10"/>
      <c r="L13" s="10"/>
      <c r="M13" s="10"/>
    </row>
    <row r="14" spans="1:13" x14ac:dyDescent="0.35">
      <c r="A14" s="4" t="s">
        <v>65</v>
      </c>
      <c r="B14" s="7" t="e">
        <f ca="1">_xludf.VAR.S(Clean_Data!D3:D52)</f>
        <v>#NAME?</v>
      </c>
      <c r="C14" s="7" t="e">
        <f ca="1">_xludf.VAR.P(Clean_Data!D3:D52)</f>
        <v>#NAME?</v>
      </c>
      <c r="D14" s="7" t="e">
        <f ca="1">_xludf.STDEV.S(Clean_Data!D3:D52)</f>
        <v>#NAME?</v>
      </c>
      <c r="E14" s="7" t="e">
        <f ca="1">_xludf.STDEV.P(Clean_Data!D3:D52)</f>
        <v>#NAME?</v>
      </c>
      <c r="F14" s="8"/>
      <c r="G14" s="8"/>
      <c r="I14" s="8"/>
      <c r="J14" s="8"/>
      <c r="K14" s="8"/>
      <c r="L14" s="8"/>
      <c r="M14" s="8"/>
    </row>
    <row r="15" spans="1:13" x14ac:dyDescent="0.35">
      <c r="A15" s="4" t="s">
        <v>71</v>
      </c>
      <c r="B15" s="7" t="e">
        <f ca="1">_xludf.VAR.S(Clean_Data!E3:E52)</f>
        <v>#NAME?</v>
      </c>
      <c r="C15" s="7" t="e">
        <f ca="1">_xludf.VAR.P(Clean_Data!E3:E52)</f>
        <v>#NAME?</v>
      </c>
      <c r="D15" s="7" t="e">
        <f ca="1">_xludf.STDEV.S(Clean_Data!E3:E52)</f>
        <v>#NAME?</v>
      </c>
      <c r="E15" s="7" t="e">
        <f ca="1">_xludf.STDEV.P(Clean_Data!E3:E52)</f>
        <v>#NAME?</v>
      </c>
      <c r="F15" s="8"/>
      <c r="G15" s="8"/>
      <c r="I15" s="8"/>
      <c r="J15" s="8"/>
      <c r="K15" s="8"/>
      <c r="L15" s="8"/>
      <c r="M15" s="8"/>
    </row>
    <row r="16" spans="1:13" x14ac:dyDescent="0.35">
      <c r="A16" s="4" t="s">
        <v>81</v>
      </c>
      <c r="B16" s="7" t="e">
        <f ca="1">_xludf.VAR.S(Clean_Data!G3:G52)</f>
        <v>#NAME?</v>
      </c>
      <c r="C16" s="7" t="e">
        <f ca="1">_xludf.VAR.P(Clean_Data!G3:G52)</f>
        <v>#NAME?</v>
      </c>
      <c r="D16" s="7" t="e">
        <f ca="1">_xludf.STDEV.S(Clean_Data!G3:G52)</f>
        <v>#NAME?</v>
      </c>
      <c r="E16" s="7" t="e">
        <f ca="1">_xludf.STDEV.P(Clean_Data!G3:G52)</f>
        <v>#NAME?</v>
      </c>
      <c r="F16" s="8"/>
      <c r="G16" s="8"/>
      <c r="I16" s="8"/>
      <c r="J16" s="8"/>
      <c r="K16" s="8"/>
      <c r="L16" s="8"/>
      <c r="M16" s="8"/>
    </row>
    <row r="17" spans="1:13" x14ac:dyDescent="0.35">
      <c r="A17" s="4" t="s">
        <v>86</v>
      </c>
      <c r="B17" s="7" t="e">
        <f ca="1">_xludf.VAR.S(Clean_Data!H3:H52)</f>
        <v>#NAME?</v>
      </c>
      <c r="C17" s="7" t="e">
        <f ca="1">_xludf.VAR.P(Clean_Data!H3:H52)</f>
        <v>#NAME?</v>
      </c>
      <c r="D17" s="7" t="e">
        <f ca="1">_xludf.STDEV.S(Clean_Data!H3:H52)</f>
        <v>#NAME?</v>
      </c>
      <c r="E17" s="7" t="e">
        <f ca="1">_xludf.STDEV.P(Clean_Data!H3:H52)</f>
        <v>#NAME?</v>
      </c>
      <c r="F17" s="8"/>
      <c r="G17" s="8"/>
      <c r="I17" s="8"/>
      <c r="J17" s="8"/>
      <c r="K17" s="8"/>
      <c r="L17" s="8"/>
      <c r="M17" s="8"/>
    </row>
    <row r="18" spans="1:13" x14ac:dyDescent="0.35">
      <c r="A18" s="4" t="s">
        <v>97</v>
      </c>
      <c r="B18" s="7" t="e">
        <f ca="1">_xludf.VAR.S(Clean_Data!J3:J52)</f>
        <v>#NAME?</v>
      </c>
      <c r="C18" s="7" t="e">
        <f ca="1">_xludf.VAR.P(Clean_Data!J3:J52)</f>
        <v>#NAME?</v>
      </c>
      <c r="D18" s="7" t="e">
        <f ca="1">_xludf.STDEV.S(Clean_Data!J3:J52)</f>
        <v>#NAME?</v>
      </c>
      <c r="E18" s="7" t="e">
        <f ca="1">_xludf.STDEV.P(Clean_Data!J3:J52)</f>
        <v>#NAME?</v>
      </c>
      <c r="F18" s="8"/>
      <c r="G18" s="8"/>
      <c r="I18" s="8"/>
      <c r="J18" s="8"/>
      <c r="K18" s="8"/>
      <c r="L18" s="8"/>
      <c r="M18" s="8"/>
    </row>
    <row r="19" spans="1:13" x14ac:dyDescent="0.35">
      <c r="B19" s="8"/>
      <c r="C19" s="8"/>
      <c r="D19" s="8"/>
      <c r="E19" s="8"/>
      <c r="F19" s="8"/>
      <c r="G19" s="8"/>
      <c r="I19" s="8"/>
      <c r="J19" s="8"/>
      <c r="K19" s="8"/>
      <c r="L19" s="8"/>
      <c r="M19" s="8"/>
    </row>
    <row r="20" spans="1:13" x14ac:dyDescent="0.35">
      <c r="B20" s="8"/>
      <c r="C20" s="8"/>
      <c r="D20" s="8"/>
      <c r="E20" s="8"/>
      <c r="F20" s="8"/>
      <c r="G20" s="8"/>
      <c r="I20" s="8"/>
      <c r="J20" s="8"/>
      <c r="K20" s="8"/>
      <c r="L20" s="8"/>
      <c r="M20" s="8"/>
    </row>
  </sheetData>
  <mergeCells count="3">
    <mergeCell ref="H3:M3"/>
    <mergeCell ref="A1:F1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8" customWidth="1"/>
    <col min="4" max="4" width="11" customWidth="1"/>
    <col min="5" max="5" width="15" customWidth="1"/>
    <col min="6" max="7" width="18" customWidth="1"/>
    <col min="8" max="8" width="11" customWidth="1"/>
  </cols>
  <sheetData>
    <row r="1" spans="1:8" x14ac:dyDescent="0.35">
      <c r="A1" s="15" t="s">
        <v>139</v>
      </c>
      <c r="B1" s="16"/>
      <c r="C1" s="21"/>
      <c r="D1" s="16"/>
      <c r="E1" s="16"/>
      <c r="F1" s="16"/>
      <c r="G1" s="21"/>
      <c r="H1" s="16"/>
    </row>
    <row r="2" spans="1:8" x14ac:dyDescent="0.35">
      <c r="C2" s="12"/>
      <c r="G2" s="12"/>
    </row>
    <row r="3" spans="1:8" ht="15.5" x14ac:dyDescent="0.35">
      <c r="A3" s="1" t="s">
        <v>51</v>
      </c>
      <c r="C3" s="12"/>
      <c r="E3" s="1" t="s">
        <v>140</v>
      </c>
      <c r="G3" s="12"/>
    </row>
    <row r="4" spans="1:8" x14ac:dyDescent="0.35">
      <c r="A4" s="4" t="s">
        <v>141</v>
      </c>
      <c r="B4" s="4" t="s">
        <v>142</v>
      </c>
      <c r="C4" s="13" t="s">
        <v>143</v>
      </c>
      <c r="E4" s="4" t="s">
        <v>59</v>
      </c>
      <c r="F4" s="4" t="s">
        <v>142</v>
      </c>
      <c r="G4" s="13" t="s">
        <v>143</v>
      </c>
    </row>
    <row r="5" spans="1:8" x14ac:dyDescent="0.35">
      <c r="A5" s="4" t="s">
        <v>104</v>
      </c>
      <c r="B5" s="4">
        <f>COUNTIF(Clean_Data!B3:B52,A5)</f>
        <v>29</v>
      </c>
      <c r="C5" s="13">
        <f>B5/COUNTA(Clean_Data!B3:B52)</f>
        <v>0.57999999999999996</v>
      </c>
      <c r="E5" s="4">
        <v>1</v>
      </c>
      <c r="F5" s="4">
        <f>COUNTIF(Clean_Data!C3:C52,E5)</f>
        <v>11</v>
      </c>
      <c r="G5" s="13">
        <f>F5/COUNTA(Clean_Data!C3:C52)</f>
        <v>0.22</v>
      </c>
    </row>
    <row r="6" spans="1:8" x14ac:dyDescent="0.35">
      <c r="A6" s="4" t="s">
        <v>106</v>
      </c>
      <c r="B6" s="4">
        <f>COUNTIF(Clean_Data!B3:B52,A6)</f>
        <v>21</v>
      </c>
      <c r="C6" s="13">
        <f>B6/COUNTA(Clean_Data!B3:B52)</f>
        <v>0.42</v>
      </c>
      <c r="E6" s="4">
        <v>2</v>
      </c>
      <c r="F6" s="4">
        <f>COUNTIF(Clean_Data!C3:C52,E6)</f>
        <v>4</v>
      </c>
      <c r="G6" s="13">
        <f>F6/COUNTA(Clean_Data!C3:C52)</f>
        <v>0.08</v>
      </c>
    </row>
    <row r="7" spans="1:8" x14ac:dyDescent="0.35">
      <c r="C7" s="12"/>
      <c r="E7" s="4">
        <v>3</v>
      </c>
      <c r="F7" s="4">
        <f>COUNTIF(Clean_Data!C3:C52,E7)</f>
        <v>9</v>
      </c>
      <c r="G7" s="13">
        <f>F7/COUNTA(Clean_Data!C3:C52)</f>
        <v>0.18</v>
      </c>
    </row>
    <row r="8" spans="1:8" x14ac:dyDescent="0.35">
      <c r="C8" s="12"/>
      <c r="E8" s="4">
        <v>4</v>
      </c>
      <c r="F8" s="4">
        <f>COUNTIF(Clean_Data!C3:C52,E8)</f>
        <v>8</v>
      </c>
      <c r="G8" s="13">
        <f>F8/COUNTA(Clean_Data!C3:C52)</f>
        <v>0.16</v>
      </c>
    </row>
    <row r="9" spans="1:8" x14ac:dyDescent="0.35">
      <c r="C9" s="12"/>
      <c r="E9" s="4">
        <v>5</v>
      </c>
      <c r="F9" s="4">
        <f>COUNTIF(Clean_Data!C3:C52,E9)</f>
        <v>8</v>
      </c>
      <c r="G9" s="13">
        <f>F9/COUNTA(Clean_Data!C3:C52)</f>
        <v>0.16</v>
      </c>
    </row>
    <row r="10" spans="1:8" ht="15.5" x14ac:dyDescent="0.35">
      <c r="A10" s="1" t="s">
        <v>144</v>
      </c>
      <c r="C10" s="12"/>
      <c r="E10" s="4">
        <v>6</v>
      </c>
      <c r="F10" s="4">
        <f>COUNTIF(Clean_Data!C3:C52,E10)</f>
        <v>10</v>
      </c>
      <c r="G10" s="13">
        <f>F10/COUNTA(Clean_Data!C3:C52)</f>
        <v>0.2</v>
      </c>
    </row>
    <row r="11" spans="1:8" x14ac:dyDescent="0.35">
      <c r="A11" s="4" t="s">
        <v>145</v>
      </c>
      <c r="B11" s="4" t="s">
        <v>142</v>
      </c>
      <c r="C11" s="13" t="s">
        <v>143</v>
      </c>
      <c r="G11" s="12"/>
    </row>
    <row r="12" spans="1:8" x14ac:dyDescent="0.35">
      <c r="A12" s="4">
        <v>1</v>
      </c>
      <c r="B12" s="4">
        <f>COUNTIF(Clean_Data!I3:I52,A12)</f>
        <v>8</v>
      </c>
      <c r="C12" s="13">
        <f>B12/COUNTA(Clean_Data!I3:I52)</f>
        <v>0.16</v>
      </c>
      <c r="G12" s="12"/>
    </row>
    <row r="13" spans="1:8" x14ac:dyDescent="0.35">
      <c r="A13" s="4">
        <v>2</v>
      </c>
      <c r="B13" s="4">
        <f>COUNTIF(Clean_Data!I3:I52,A13)</f>
        <v>6</v>
      </c>
      <c r="C13" s="13">
        <f>B13/COUNTA(Clean_Data!I3:I52)</f>
        <v>0.12</v>
      </c>
      <c r="G13" s="12"/>
    </row>
    <row r="14" spans="1:8" x14ac:dyDescent="0.35">
      <c r="A14" s="4">
        <v>3</v>
      </c>
      <c r="B14" s="4">
        <f>COUNTIF(Clean_Data!I3:I52,A14)</f>
        <v>13</v>
      </c>
      <c r="C14" s="13">
        <f>B14/COUNTA(Clean_Data!I3:I52)</f>
        <v>0.26</v>
      </c>
      <c r="G14" s="12"/>
    </row>
    <row r="15" spans="1:8" x14ac:dyDescent="0.35">
      <c r="A15" s="4">
        <v>4</v>
      </c>
      <c r="B15" s="4">
        <f>COUNTIF(Clean_Data!I3:I52,A15)</f>
        <v>6</v>
      </c>
      <c r="C15" s="13">
        <f>B15/COUNTA(Clean_Data!I3:I52)</f>
        <v>0.12</v>
      </c>
      <c r="G15" s="12"/>
    </row>
    <row r="16" spans="1:8" x14ac:dyDescent="0.35">
      <c r="A16" s="4">
        <v>5</v>
      </c>
      <c r="B16" s="4">
        <f>COUNTIF(Clean_Data!I3:I52,A16)</f>
        <v>17</v>
      </c>
      <c r="C16" s="13">
        <f>B16/COUNTA(Clean_Data!I3:I52)</f>
        <v>0.34</v>
      </c>
      <c r="G16" s="12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1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3" width="28" customWidth="1"/>
    <col min="4" max="12" width="11" customWidth="1"/>
  </cols>
  <sheetData>
    <row r="1" spans="1:12" x14ac:dyDescent="0.35">
      <c r="A1" s="15" t="s">
        <v>146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18" spans="1:12" x14ac:dyDescent="0.35">
      <c r="A18" s="19" t="s">
        <v>147</v>
      </c>
      <c r="B18" s="16"/>
      <c r="C18" s="16"/>
      <c r="D18" s="16"/>
      <c r="E18" s="16"/>
      <c r="F18" s="16"/>
    </row>
    <row r="19" spans="1:12" x14ac:dyDescent="0.35">
      <c r="A19" s="5" t="s">
        <v>148</v>
      </c>
      <c r="B19" s="5" t="s">
        <v>142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x14ac:dyDescent="0.35">
      <c r="A20" s="4" t="s">
        <v>149</v>
      </c>
      <c r="B20" s="4">
        <f>COUNTIFS(Clean_Data!G3:G52,"&gt;=2.0",Clean_Data!G3:G52,"&lt;=2.49")</f>
        <v>1</v>
      </c>
    </row>
    <row r="21" spans="1:12" x14ac:dyDescent="0.35">
      <c r="A21" s="4" t="s">
        <v>150</v>
      </c>
      <c r="B21" s="4">
        <f>COUNTIFS(Clean_Data!G3:G52,"&gt;=2.5",Clean_Data!G3:G52,"&lt;=2.99")</f>
        <v>4</v>
      </c>
    </row>
    <row r="22" spans="1:12" x14ac:dyDescent="0.35">
      <c r="A22" s="4" t="s">
        <v>151</v>
      </c>
      <c r="B22" s="4">
        <f>COUNTIFS(Clean_Data!G3:G52,"&gt;=3.0",Clean_Data!G3:G52,"&lt;=3.49")</f>
        <v>10</v>
      </c>
    </row>
    <row r="23" spans="1:12" x14ac:dyDescent="0.35">
      <c r="A23" s="4" t="s">
        <v>152</v>
      </c>
      <c r="B23" s="4">
        <f>COUNTIFS(Clean_Data!G3:G52,"&gt;=3.5",Clean_Data!G3:G52,"&lt;=3.99")</f>
        <v>13</v>
      </c>
    </row>
    <row r="24" spans="1:12" x14ac:dyDescent="0.35">
      <c r="A24" s="4" t="s">
        <v>153</v>
      </c>
      <c r="B24" s="4">
        <f>COUNTIFS(Clean_Data!G3:G52,"&gt;=4.0",Clean_Data!G3:G52,"&lt;=4.49")</f>
        <v>13</v>
      </c>
    </row>
    <row r="25" spans="1:12" x14ac:dyDescent="0.35">
      <c r="A25" s="4" t="s">
        <v>154</v>
      </c>
      <c r="B25" s="4">
        <f>COUNTIFS(Clean_Data!G3:G52,"&gt;=4.5",Clean_Data!G3:G52,"&lt;=5.0")</f>
        <v>9</v>
      </c>
    </row>
    <row r="35" spans="1:6" x14ac:dyDescent="0.35">
      <c r="A35" s="19" t="s">
        <v>155</v>
      </c>
      <c r="B35" s="16"/>
      <c r="C35" s="16"/>
      <c r="D35" s="16"/>
      <c r="E35" s="16"/>
      <c r="F35" s="16"/>
    </row>
    <row r="36" spans="1:6" x14ac:dyDescent="0.35">
      <c r="A36" s="14" t="s">
        <v>156</v>
      </c>
      <c r="B36" s="14" t="s">
        <v>157</v>
      </c>
      <c r="C36" s="14" t="s">
        <v>158</v>
      </c>
    </row>
    <row r="37" spans="1:6" x14ac:dyDescent="0.35">
      <c r="A37" s="2" t="s">
        <v>159</v>
      </c>
      <c r="B37" s="2" t="s">
        <v>160</v>
      </c>
      <c r="C37" s="2" t="s">
        <v>161</v>
      </c>
    </row>
    <row r="38" spans="1:6" ht="29" x14ac:dyDescent="0.35">
      <c r="A38" s="2" t="s">
        <v>162</v>
      </c>
      <c r="B38" s="2" t="s">
        <v>163</v>
      </c>
      <c r="C38" s="2" t="s">
        <v>164</v>
      </c>
    </row>
    <row r="39" spans="1:6" x14ac:dyDescent="0.35">
      <c r="A39" s="2" t="s">
        <v>165</v>
      </c>
      <c r="B39" s="2" t="s">
        <v>166</v>
      </c>
      <c r="C39" s="2" t="s">
        <v>167</v>
      </c>
    </row>
    <row r="40" spans="1:6" x14ac:dyDescent="0.35">
      <c r="A40" s="2" t="s">
        <v>168</v>
      </c>
      <c r="B40" s="2" t="s">
        <v>169</v>
      </c>
      <c r="C40" s="2" t="s">
        <v>170</v>
      </c>
    </row>
    <row r="41" spans="1:6" ht="29" x14ac:dyDescent="0.35">
      <c r="A41" s="2" t="s">
        <v>171</v>
      </c>
      <c r="B41" s="2" t="s">
        <v>172</v>
      </c>
      <c r="C41" s="2" t="s">
        <v>173</v>
      </c>
    </row>
  </sheetData>
  <mergeCells count="3">
    <mergeCell ref="A1:L1"/>
    <mergeCell ref="A18:F18"/>
    <mergeCell ref="A35:F35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8" width="11" customWidth="1"/>
  </cols>
  <sheetData>
    <row r="1" spans="1:8" x14ac:dyDescent="0.35">
      <c r="A1" s="15" t="s">
        <v>174</v>
      </c>
      <c r="B1" s="16"/>
      <c r="C1" s="16"/>
      <c r="D1" s="16"/>
      <c r="E1" s="16"/>
      <c r="F1" s="16"/>
      <c r="G1" s="16"/>
      <c r="H1" s="16"/>
    </row>
    <row r="3" spans="1:8" x14ac:dyDescent="0.35">
      <c r="A3" s="19" t="s">
        <v>175</v>
      </c>
      <c r="B3" s="16"/>
      <c r="C3" s="16"/>
      <c r="D3" s="16"/>
      <c r="E3" s="16"/>
      <c r="F3" s="16"/>
      <c r="G3" s="16"/>
      <c r="H3" s="16"/>
    </row>
    <row r="4" spans="1:8" x14ac:dyDescent="0.35">
      <c r="A4" s="17" t="s">
        <v>176</v>
      </c>
      <c r="B4" s="16"/>
      <c r="C4" s="16"/>
      <c r="D4" s="16"/>
      <c r="E4" s="16"/>
      <c r="F4" s="16"/>
      <c r="G4" s="16"/>
      <c r="H4" s="16"/>
    </row>
    <row r="5" spans="1:8" x14ac:dyDescent="0.35">
      <c r="A5" s="17" t="s">
        <v>177</v>
      </c>
      <c r="B5" s="16"/>
      <c r="C5" s="16"/>
      <c r="D5" s="16"/>
      <c r="E5" s="16"/>
      <c r="F5" s="16"/>
      <c r="G5" s="16"/>
      <c r="H5" s="16"/>
    </row>
    <row r="6" spans="1:8" x14ac:dyDescent="0.35">
      <c r="A6" s="17" t="s">
        <v>178</v>
      </c>
      <c r="B6" s="16"/>
      <c r="C6" s="16"/>
      <c r="D6" s="16"/>
      <c r="E6" s="16"/>
      <c r="F6" s="16"/>
      <c r="G6" s="16"/>
      <c r="H6" s="16"/>
    </row>
    <row r="7" spans="1:8" x14ac:dyDescent="0.35">
      <c r="A7" s="17" t="s">
        <v>179</v>
      </c>
      <c r="B7" s="16"/>
      <c r="C7" s="16"/>
      <c r="D7" s="16"/>
      <c r="E7" s="16"/>
      <c r="F7" s="16"/>
      <c r="G7" s="16"/>
      <c r="H7" s="16"/>
    </row>
    <row r="8" spans="1:8" x14ac:dyDescent="0.35">
      <c r="A8" s="17" t="s">
        <v>180</v>
      </c>
      <c r="B8" s="16"/>
      <c r="C8" s="16"/>
      <c r="D8" s="16"/>
      <c r="E8" s="16"/>
      <c r="F8" s="16"/>
      <c r="G8" s="16"/>
      <c r="H8" s="16"/>
    </row>
    <row r="9" spans="1:8" x14ac:dyDescent="0.35">
      <c r="A9" s="17" t="s">
        <v>181</v>
      </c>
      <c r="B9" s="16"/>
      <c r="C9" s="16"/>
      <c r="D9" s="16"/>
      <c r="E9" s="16"/>
      <c r="F9" s="16"/>
      <c r="G9" s="16"/>
      <c r="H9" s="16"/>
    </row>
    <row r="10" spans="1:8" x14ac:dyDescent="0.35">
      <c r="A10" s="17" t="s">
        <v>182</v>
      </c>
      <c r="B10" s="16"/>
      <c r="C10" s="16"/>
      <c r="D10" s="16"/>
      <c r="E10" s="16"/>
      <c r="F10" s="16"/>
      <c r="G10" s="16"/>
      <c r="H10" s="16"/>
    </row>
    <row r="11" spans="1:8" x14ac:dyDescent="0.35">
      <c r="A11" s="17" t="s">
        <v>183</v>
      </c>
      <c r="B11" s="16"/>
      <c r="C11" s="16"/>
      <c r="D11" s="16"/>
      <c r="E11" s="16"/>
      <c r="F11" s="16"/>
      <c r="G11" s="16"/>
      <c r="H11" s="16"/>
    </row>
    <row r="12" spans="1:8" x14ac:dyDescent="0.35">
      <c r="A12" s="17" t="s">
        <v>184</v>
      </c>
      <c r="B12" s="16"/>
      <c r="C12" s="16"/>
      <c r="D12" s="16"/>
      <c r="E12" s="16"/>
      <c r="F12" s="16"/>
      <c r="G12" s="16"/>
      <c r="H12" s="16"/>
    </row>
    <row r="13" spans="1:8" x14ac:dyDescent="0.35">
      <c r="A13" s="17" t="s">
        <v>185</v>
      </c>
      <c r="B13" s="16"/>
      <c r="C13" s="16"/>
      <c r="D13" s="16"/>
      <c r="E13" s="16"/>
      <c r="F13" s="16"/>
      <c r="G13" s="16"/>
      <c r="H13" s="16"/>
    </row>
    <row r="16" spans="1:8" x14ac:dyDescent="0.35">
      <c r="A16" s="19" t="s">
        <v>186</v>
      </c>
      <c r="B16" s="16"/>
      <c r="C16" s="16"/>
      <c r="D16" s="16"/>
      <c r="E16" s="16"/>
      <c r="F16" s="16"/>
      <c r="G16" s="16"/>
      <c r="H16" s="16"/>
    </row>
    <row r="17" spans="1:8" x14ac:dyDescent="0.35">
      <c r="A17" s="17" t="s">
        <v>187</v>
      </c>
      <c r="B17" s="16"/>
      <c r="C17" s="16"/>
      <c r="D17" s="16"/>
      <c r="E17" s="16"/>
      <c r="F17" s="16"/>
      <c r="G17" s="16"/>
      <c r="H17" s="16"/>
    </row>
    <row r="18" spans="1:8" x14ac:dyDescent="0.35">
      <c r="A18" s="17" t="s">
        <v>188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7" t="s">
        <v>189</v>
      </c>
      <c r="B19" s="16"/>
      <c r="C19" s="16"/>
      <c r="D19" s="16"/>
      <c r="E19" s="16"/>
      <c r="F19" s="16"/>
      <c r="G19" s="16"/>
      <c r="H19" s="16"/>
    </row>
    <row r="20" spans="1:8" x14ac:dyDescent="0.35">
      <c r="A20" s="17" t="s">
        <v>190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7" t="s">
        <v>191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7" t="s">
        <v>192</v>
      </c>
      <c r="B22" s="16"/>
      <c r="C22" s="16"/>
      <c r="D22" s="16"/>
      <c r="E22" s="16"/>
      <c r="F22" s="16"/>
      <c r="G22" s="16"/>
      <c r="H22" s="16"/>
    </row>
    <row r="23" spans="1:8" x14ac:dyDescent="0.35">
      <c r="A23" s="17" t="s">
        <v>193</v>
      </c>
      <c r="B23" s="16"/>
      <c r="C23" s="16"/>
      <c r="D23" s="16"/>
      <c r="E23" s="16"/>
      <c r="F23" s="16"/>
      <c r="G23" s="16"/>
      <c r="H23" s="16"/>
    </row>
  </sheetData>
  <mergeCells count="20">
    <mergeCell ref="A1:H1"/>
    <mergeCell ref="A6:H6"/>
    <mergeCell ref="A7:H7"/>
    <mergeCell ref="A3:H3"/>
    <mergeCell ref="A21:H21"/>
    <mergeCell ref="A5:H5"/>
    <mergeCell ref="A9:H9"/>
    <mergeCell ref="A11:H11"/>
    <mergeCell ref="A23:H23"/>
    <mergeCell ref="A8:H8"/>
    <mergeCell ref="A22:H22"/>
    <mergeCell ref="A17:H17"/>
    <mergeCell ref="A4:H4"/>
    <mergeCell ref="A20:H20"/>
    <mergeCell ref="A10:H10"/>
    <mergeCell ref="A13:H13"/>
    <mergeCell ref="A19:H19"/>
    <mergeCell ref="A16:H16"/>
    <mergeCell ref="A12:H12"/>
    <mergeCell ref="A18:H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27" customWidth="1"/>
    <col min="2" max="2" width="42" customWidth="1"/>
    <col min="3" max="3" width="31" customWidth="1"/>
    <col min="4" max="4" width="28" customWidth="1"/>
  </cols>
  <sheetData>
    <row r="1" spans="1:4" x14ac:dyDescent="0.35">
      <c r="A1" s="15" t="s">
        <v>194</v>
      </c>
      <c r="B1" s="16"/>
      <c r="C1" s="16"/>
      <c r="D1" s="16"/>
    </row>
    <row r="2" spans="1:4" x14ac:dyDescent="0.35">
      <c r="A2" s="5" t="s">
        <v>195</v>
      </c>
      <c r="B2" s="5" t="s">
        <v>196</v>
      </c>
      <c r="C2" s="5" t="s">
        <v>36</v>
      </c>
      <c r="D2" s="5" t="s">
        <v>197</v>
      </c>
    </row>
    <row r="3" spans="1:4" x14ac:dyDescent="0.35">
      <c r="A3" s="4" t="s">
        <v>125</v>
      </c>
      <c r="B3" s="4" t="e">
        <f>AVERAGE(range)</f>
        <v>#NAME?</v>
      </c>
      <c r="C3" s="4" t="s">
        <v>198</v>
      </c>
      <c r="D3" s="4" t="s">
        <v>125</v>
      </c>
    </row>
    <row r="4" spans="1:4" x14ac:dyDescent="0.35">
      <c r="A4" s="4" t="s">
        <v>126</v>
      </c>
      <c r="B4" s="4" t="e">
        <f>MEDIAN(range)</f>
        <v>#NAME?</v>
      </c>
      <c r="C4" s="4" t="s">
        <v>199</v>
      </c>
      <c r="D4" s="4" t="s">
        <v>126</v>
      </c>
    </row>
    <row r="5" spans="1:4" x14ac:dyDescent="0.35">
      <c r="A5" s="4" t="s">
        <v>127</v>
      </c>
      <c r="B5" s="4" t="e">
        <f ca="1">_xludf.MODE.SNGL(range)</f>
        <v>#NAME?</v>
      </c>
      <c r="C5" s="4" t="s">
        <v>200</v>
      </c>
      <c r="D5" s="4" t="s">
        <v>127</v>
      </c>
    </row>
    <row r="6" spans="1:4" x14ac:dyDescent="0.35">
      <c r="A6" s="4" t="s">
        <v>201</v>
      </c>
      <c r="B6" s="4" t="e">
        <f>MIN(range)</f>
        <v>#NAME?</v>
      </c>
      <c r="C6" s="4" t="s">
        <v>202</v>
      </c>
      <c r="D6" s="4" t="s">
        <v>128</v>
      </c>
    </row>
    <row r="7" spans="1:4" x14ac:dyDescent="0.35">
      <c r="A7" s="4" t="s">
        <v>203</v>
      </c>
      <c r="B7" s="4" t="e">
        <f>MAX(range)</f>
        <v>#NAME?</v>
      </c>
      <c r="C7" s="4" t="s">
        <v>204</v>
      </c>
      <c r="D7" s="4" t="s">
        <v>128</v>
      </c>
    </row>
    <row r="8" spans="1:4" x14ac:dyDescent="0.35">
      <c r="A8" s="4" t="s">
        <v>128</v>
      </c>
      <c r="B8" s="4" t="e">
        <f>MAX(range)-MIN(range)</f>
        <v>#NAME?</v>
      </c>
      <c r="C8" s="4" t="s">
        <v>205</v>
      </c>
      <c r="D8" s="4" t="s">
        <v>128</v>
      </c>
    </row>
    <row r="9" spans="1:4" x14ac:dyDescent="0.35">
      <c r="A9" s="4" t="s">
        <v>131</v>
      </c>
      <c r="B9" s="4" t="e">
        <f ca="1">_xludf.QUARTILE.INC(range,1)</f>
        <v>#NAME?</v>
      </c>
      <c r="C9" s="4" t="s">
        <v>206</v>
      </c>
      <c r="D9" s="4" t="s">
        <v>207</v>
      </c>
    </row>
    <row r="10" spans="1:4" x14ac:dyDescent="0.35">
      <c r="A10" s="4" t="s">
        <v>208</v>
      </c>
      <c r="B10" s="4" t="e">
        <f ca="1">_xludf.QUARTILE.INC(range,2)</f>
        <v>#NAME?</v>
      </c>
      <c r="C10" s="4" t="s">
        <v>209</v>
      </c>
      <c r="D10" s="4" t="s">
        <v>210</v>
      </c>
    </row>
    <row r="11" spans="1:4" x14ac:dyDescent="0.35">
      <c r="A11" s="4" t="s">
        <v>133</v>
      </c>
      <c r="B11" s="4" t="e">
        <f ca="1">_xludf.QUARTILE.INC(range,3)</f>
        <v>#NAME?</v>
      </c>
      <c r="C11" s="4" t="s">
        <v>211</v>
      </c>
      <c r="D11" s="4" t="s">
        <v>212</v>
      </c>
    </row>
    <row r="12" spans="1:4" x14ac:dyDescent="0.35">
      <c r="A12" s="4" t="s">
        <v>134</v>
      </c>
      <c r="B12" s="4" t="e">
        <f ca="1">_xludf.QUARTILE.INC(range,3)-_xludf.QUARTILE.INC(range,1)</f>
        <v>#NAME?</v>
      </c>
      <c r="C12" s="4" t="s">
        <v>213</v>
      </c>
      <c r="D12" s="4" t="s">
        <v>134</v>
      </c>
    </row>
    <row r="13" spans="1:4" x14ac:dyDescent="0.35">
      <c r="A13" s="4" t="s">
        <v>135</v>
      </c>
      <c r="B13" s="4" t="e">
        <f ca="1">_xludf.VAR.S(range)</f>
        <v>#NAME?</v>
      </c>
      <c r="C13" s="4" t="s">
        <v>214</v>
      </c>
      <c r="D13" s="4" t="s">
        <v>215</v>
      </c>
    </row>
    <row r="14" spans="1:4" x14ac:dyDescent="0.35">
      <c r="A14" s="4" t="s">
        <v>137</v>
      </c>
      <c r="B14" s="4" t="e">
        <f ca="1">_xludf.VAR.P(range)</f>
        <v>#NAME?</v>
      </c>
      <c r="C14" s="4" t="s">
        <v>216</v>
      </c>
      <c r="D14" s="4" t="s">
        <v>217</v>
      </c>
    </row>
    <row r="15" spans="1:4" x14ac:dyDescent="0.35">
      <c r="A15" s="4" t="s">
        <v>129</v>
      </c>
      <c r="B15" s="4" t="e">
        <f ca="1">_xludf.STDEV.S(range)</f>
        <v>#NAME?</v>
      </c>
      <c r="C15" s="4" t="s">
        <v>218</v>
      </c>
      <c r="D15" s="4" t="s">
        <v>129</v>
      </c>
    </row>
    <row r="16" spans="1:4" x14ac:dyDescent="0.35">
      <c r="A16" s="4" t="s">
        <v>138</v>
      </c>
      <c r="B16" s="4" t="e">
        <f ca="1">_xludf.STDEV.P(range)</f>
        <v>#NAME?</v>
      </c>
      <c r="C16" s="4" t="s">
        <v>219</v>
      </c>
      <c r="D16" s="4" t="s">
        <v>138</v>
      </c>
    </row>
    <row r="17" spans="1:4" x14ac:dyDescent="0.35">
      <c r="A17" s="4" t="s">
        <v>142</v>
      </c>
      <c r="B17" s="4">
        <f>COUNT(range)</f>
        <v>0</v>
      </c>
      <c r="C17" s="4" t="s">
        <v>220</v>
      </c>
      <c r="D17" s="4" t="s">
        <v>221</v>
      </c>
    </row>
    <row r="18" spans="1:4" x14ac:dyDescent="0.35">
      <c r="A18" s="4" t="s">
        <v>222</v>
      </c>
      <c r="B18" s="4" t="e">
        <f>COUNTIF(range,criteria)</f>
        <v>#NAME?</v>
      </c>
      <c r="C18" s="4" t="s">
        <v>223</v>
      </c>
      <c r="D18" s="4" t="s">
        <v>224</v>
      </c>
    </row>
    <row r="19" spans="1:4" x14ac:dyDescent="0.35">
      <c r="A19" s="4" t="s">
        <v>225</v>
      </c>
      <c r="B19" s="4" t="e">
        <f>AVERAGEIF(range,criteria,average_range)</f>
        <v>#NAME?</v>
      </c>
      <c r="C19" s="4" t="s">
        <v>226</v>
      </c>
      <c r="D19" s="4" t="s">
        <v>227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START_HERE</vt:lpstr>
      <vt:lpstr>Data_Dictionary</vt:lpstr>
      <vt:lpstr>Raw_Data</vt:lpstr>
      <vt:lpstr>Clean_Data</vt:lpstr>
      <vt:lpstr>Descriptive</vt:lpstr>
      <vt:lpstr>Frequency</vt:lpstr>
      <vt:lpstr>Charts</vt:lpstr>
      <vt:lpstr>Student_Task</vt:lpstr>
      <vt:lpstr>Formula_CheatSheet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Alrohaimi A</cp:lastModifiedBy>
  <dcterms:created xsi:type="dcterms:W3CDTF">2026-09-19T13:18:52Z</dcterms:created>
  <dcterms:modified xsi:type="dcterms:W3CDTF">2026-10-06T04:05:07Z</dcterms:modified>
</cp:coreProperties>
</file>